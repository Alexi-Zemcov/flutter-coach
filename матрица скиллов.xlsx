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ундаментальные" sheetId="1" r:id="rId5"/>
    <sheet state="visible" name="Окружение" sheetId="2" r:id="rId6"/>
    <sheet state="visible" name="Тестрирование" sheetId="3" r:id="rId7"/>
    <sheet state="visible" name="Teamwork" sheetId="4" r:id="rId8"/>
    <sheet state="visible" name="Dart" sheetId="5" r:id="rId9"/>
    <sheet state="visible" name="Flutter" sheetId="6" r:id="rId10"/>
    <sheet state="visible" name="Результат" sheetId="7" r:id="rId11"/>
  </sheets>
  <definedNames/>
  <calcPr/>
</workbook>
</file>

<file path=xl/sharedStrings.xml><?xml version="1.0" encoding="utf-8"?>
<sst xmlns="http://schemas.openxmlformats.org/spreadsheetml/2006/main" count="239" uniqueCount="187">
  <si>
    <t>L0</t>
  </si>
  <si>
    <t>L1</t>
  </si>
  <si>
    <t>L2</t>
  </si>
  <si>
    <t>L3</t>
  </si>
  <si>
    <t>L4</t>
  </si>
  <si>
    <t>L5</t>
  </si>
  <si>
    <t>Уровень*</t>
  </si>
  <si>
    <t>Макс.</t>
  </si>
  <si>
    <t>Оцениваемый пункт</t>
  </si>
  <si>
    <t>Комментарий</t>
  </si>
  <si>
    <t>ООП</t>
  </si>
  <si>
    <t>Полиморфизм</t>
  </si>
  <si>
    <t>параметрический полиморфизм</t>
  </si>
  <si>
    <t>ad-hoc полиморфизм</t>
  </si>
  <si>
    <t>Инкапсуляция</t>
  </si>
  <si>
    <t>Наследование</t>
  </si>
  <si>
    <t>Абстракция</t>
  </si>
  <si>
    <t>SOLID</t>
  </si>
  <si>
    <t>KISS</t>
  </si>
  <si>
    <t>Функциональное программирование</t>
  </si>
  <si>
    <t>Алгоритмы</t>
  </si>
  <si>
    <t>Паттерны проектирования</t>
  </si>
  <si>
    <t>Паттерны архитектуры</t>
  </si>
  <si>
    <t>DI</t>
  </si>
  <si>
    <t>Навыки проектирования</t>
  </si>
  <si>
    <t>Подходы в разработке</t>
  </si>
  <si>
    <t>BDD</t>
  </si>
  <si>
    <t>FDD</t>
  </si>
  <si>
    <t>DDD</t>
  </si>
  <si>
    <t>Базы данных</t>
  </si>
  <si>
    <t>noSQL</t>
  </si>
  <si>
    <t>relational</t>
  </si>
  <si>
    <t>* - где 0 - в первый раз вижу, 10 - чуть ли не сам разработал эту технологию</t>
  </si>
  <si>
    <t>Уровень</t>
  </si>
  <si>
    <t>Инструменты разработки</t>
  </si>
  <si>
    <t>Itellij</t>
  </si>
  <si>
    <t>VSCode</t>
  </si>
  <si>
    <t>DartPad</t>
  </si>
  <si>
    <t>Cli</t>
  </si>
  <si>
    <t>Git</t>
  </si>
  <si>
    <t>ci/cd</t>
  </si>
  <si>
    <t>Github Actions</t>
  </si>
  <si>
    <t>Codemagic</t>
  </si>
  <si>
    <t>Appcircle</t>
  </si>
  <si>
    <t>Bitrise</t>
  </si>
  <si>
    <t>Fastlane</t>
  </si>
  <si>
    <t>анализаторы</t>
  </si>
  <si>
    <t>настройка правил</t>
  </si>
  <si>
    <t>разработка правил</t>
  </si>
  <si>
    <t>нативные анализаторы</t>
  </si>
  <si>
    <t>платформенная разработка</t>
  </si>
  <si>
    <t>Android</t>
  </si>
  <si>
    <t>iOS</t>
  </si>
  <si>
    <t>macOS</t>
  </si>
  <si>
    <t>Windows</t>
  </si>
  <si>
    <t>Linux</t>
  </si>
  <si>
    <t>Web</t>
  </si>
  <si>
    <t>backend</t>
  </si>
  <si>
    <t>Rest</t>
  </si>
  <si>
    <t>Grafql</t>
  </si>
  <si>
    <t>swagger</t>
  </si>
  <si>
    <t>Stores</t>
  </si>
  <si>
    <t>Appstore</t>
  </si>
  <si>
    <t>Google Play</t>
  </si>
  <si>
    <t>Xiaomi Market</t>
  </si>
  <si>
    <t>AppGallery</t>
  </si>
  <si>
    <t>Samsung Galaxy Store</t>
  </si>
  <si>
    <t>Firebase</t>
  </si>
  <si>
    <t>Design</t>
  </si>
  <si>
    <t>HIG</t>
  </si>
  <si>
    <t>Material</t>
  </si>
  <si>
    <t>Material You</t>
  </si>
  <si>
    <t>разработка плагинов/скриптов</t>
  </si>
  <si>
    <t>дополнительные языки</t>
  </si>
  <si>
    <t>Kotlin</t>
  </si>
  <si>
    <t>Java</t>
  </si>
  <si>
    <t>Objective C</t>
  </si>
  <si>
    <t>Swift</t>
  </si>
  <si>
    <t>другие</t>
  </si>
  <si>
    <t>профилирование</t>
  </si>
  <si>
    <t>пакетные менеджеры</t>
  </si>
  <si>
    <t>Подходы</t>
  </si>
  <si>
    <t>TDD</t>
  </si>
  <si>
    <t>Написание тестов</t>
  </si>
  <si>
    <t>unit</t>
  </si>
  <si>
    <t>golden</t>
  </si>
  <si>
    <t>e2e</t>
  </si>
  <si>
    <t>flutter специфичные</t>
  </si>
  <si>
    <t>widget test</t>
  </si>
  <si>
    <t>Code Review</t>
  </si>
  <si>
    <t>Менторство</t>
  </si>
  <si>
    <t>Типизация</t>
  </si>
  <si>
    <t>Система типов языка</t>
  </si>
  <si>
    <t>до  NullSafety</t>
  </si>
  <si>
    <t xml:space="preserve"> NullSafety</t>
  </si>
  <si>
    <t>Sound</t>
  </si>
  <si>
    <t>Unsound</t>
  </si>
  <si>
    <t>dynamic</t>
  </si>
  <si>
    <t>Асинхронность</t>
  </si>
  <si>
    <t>Future</t>
  </si>
  <si>
    <t>asnync/await</t>
  </si>
  <si>
    <t>microtask</t>
  </si>
  <si>
    <t>eventloop</t>
  </si>
  <si>
    <t>Stream</t>
  </si>
  <si>
    <t>Параллельность</t>
  </si>
  <si>
    <t>Isolate</t>
  </si>
  <si>
    <t>Концепты</t>
  </si>
  <si>
    <t>Object</t>
  </si>
  <si>
    <t>infer types</t>
  </si>
  <si>
    <t>NullSafety</t>
  </si>
  <si>
    <t>Generic</t>
  </si>
  <si>
    <t>visibility</t>
  </si>
  <si>
    <t>error/warning(code)</t>
  </si>
  <si>
    <t>error/exception(runtime)</t>
  </si>
  <si>
    <t>Callable</t>
  </si>
  <si>
    <t>Generators</t>
  </si>
  <si>
    <t>Typedefs</t>
  </si>
  <si>
    <t>Metadata</t>
  </si>
  <si>
    <t>Устройство языка</t>
  </si>
  <si>
    <t>Dart VM</t>
  </si>
  <si>
    <t>компиляция</t>
  </si>
  <si>
    <t>ffi</t>
  </si>
  <si>
    <t>Устройство</t>
  </si>
  <si>
    <t>Потоки</t>
  </si>
  <si>
    <t>Глобальные слои</t>
  </si>
  <si>
    <t>SKIA</t>
  </si>
  <si>
    <t>Bindings</t>
  </si>
  <si>
    <t>Цикл построения кадра</t>
  </si>
  <si>
    <t>Деревья</t>
  </si>
  <si>
    <t>context</t>
  </si>
  <si>
    <t>RenderObject</t>
  </si>
  <si>
    <t>Sliver</t>
  </si>
  <si>
    <t>Widget</t>
  </si>
  <si>
    <t>Component</t>
  </si>
  <si>
    <t>Stateless</t>
  </si>
  <si>
    <t>Statefull</t>
  </si>
  <si>
    <t>Proxy</t>
  </si>
  <si>
    <t>InheritedWidget</t>
  </si>
  <si>
    <t>RenderObjectWidget</t>
  </si>
  <si>
    <t>Code Design Patterns</t>
  </si>
  <si>
    <t>Factory</t>
  </si>
  <si>
    <t>Builder</t>
  </si>
  <si>
    <t>State</t>
  </si>
  <si>
    <t>Observer</t>
  </si>
  <si>
    <t>Visitor</t>
  </si>
  <si>
    <t>Decorator</t>
  </si>
  <si>
    <t>Composite</t>
  </si>
  <si>
    <t>Gesture system</t>
  </si>
  <si>
    <t>Focus system</t>
  </si>
  <si>
    <t>Использование</t>
  </si>
  <si>
    <t>Widgets</t>
  </si>
  <si>
    <t>Cupertino</t>
  </si>
  <si>
    <t>Animations</t>
  </si>
  <si>
    <t>implicit</t>
  </si>
  <si>
    <t>explicit</t>
  </si>
  <si>
    <t>skeleton</t>
  </si>
  <si>
    <t>Diagnostic</t>
  </si>
  <si>
    <t>accesability</t>
  </si>
  <si>
    <t>Assets</t>
  </si>
  <si>
    <t>Layout</t>
  </si>
  <si>
    <t>Theme</t>
  </si>
  <si>
    <t>Полезные сторонние решения</t>
  </si>
  <si>
    <t>Архитектурные либы/стейтменеджеры</t>
  </si>
  <si>
    <t>Elementary</t>
  </si>
  <si>
    <t>mwwm</t>
  </si>
  <si>
    <t>MobX</t>
  </si>
  <si>
    <t>bloc/qubit</t>
  </si>
  <si>
    <t>redux</t>
  </si>
  <si>
    <t>provider</t>
  </si>
  <si>
    <t>riverpod</t>
  </si>
  <si>
    <t>getIt</t>
  </si>
  <si>
    <t>drift (ex moor)</t>
  </si>
  <si>
    <t>firebase</t>
  </si>
  <si>
    <t>sqflite</t>
  </si>
  <si>
    <t>dio</t>
  </si>
  <si>
    <t>secure_storage</t>
  </si>
  <si>
    <t>shared_preferences</t>
  </si>
  <si>
    <t>intl</t>
  </si>
  <si>
    <t>hive</t>
  </si>
  <si>
    <t>mockito</t>
  </si>
  <si>
    <t>mocktail</t>
  </si>
  <si>
    <t>Фундаментальные</t>
  </si>
  <si>
    <t>Окружение</t>
  </si>
  <si>
    <t>Тестирование</t>
  </si>
  <si>
    <t>Teamwork</t>
  </si>
  <si>
    <t>Dart</t>
  </si>
  <si>
    <t>Flutter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</si>
</sst>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/>
    <font>
      <sz val="10.0"/>
      <color theme="1"/>
      <name val="Arial"/>
    </font>
    <font>
      <color theme="1"/>
      <name val="Arial"/>
    </font>
    <font>
      <sz val="12.0"/>
      <color theme="1"/>
      <name val="Arial"/>
    </font>
    <font>
      <sz val="11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ck">
        <color rgb="FF000000"/>
      </right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top style="thick">
        <color rgb="FF000000"/>
      </top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vertical="center"/>
    </xf>
    <xf borderId="0" fillId="0" fontId="1" numFmtId="0" xfId="0" applyFont="1"/>
    <xf borderId="4" fillId="0" fontId="3" numFmtId="0" xfId="0" applyAlignment="1" applyBorder="1" applyFont="1">
      <alignment horizontal="center" shrinkToFit="0" vertical="center" wrapText="1"/>
    </xf>
    <xf borderId="5" fillId="0" fontId="3" numFmtId="10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0" fontId="4" numFmtId="10" xfId="0" applyAlignment="1" applyBorder="1" applyFont="1" applyNumberFormat="1">
      <alignment horizontal="center" vertical="center"/>
    </xf>
    <xf borderId="8" fillId="0" fontId="4" numFmtId="10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4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horizontal="center" shrinkToFit="0" vertical="center" wrapText="1"/>
    </xf>
    <xf borderId="15" fillId="0" fontId="3" numFmtId="10" xfId="0" applyAlignment="1" applyBorder="1" applyFont="1" applyNumberForma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4" numFmtId="10" xfId="0" applyAlignment="1" applyBorder="1" applyFont="1" applyNumberFormat="1">
      <alignment horizontal="center" vertical="center"/>
    </xf>
    <xf borderId="16" fillId="0" fontId="4" numFmtId="10" xfId="0" applyAlignment="1" applyBorder="1" applyFont="1" applyNumberForma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0" fontId="3" numFmtId="0" xfId="0" applyAlignment="1" applyBorder="1" applyFont="1">
      <alignment horizontal="center" shrinkToFit="0" vertical="center" wrapText="1"/>
    </xf>
    <xf borderId="22" fillId="0" fontId="3" numFmtId="10" xfId="0" applyAlignment="1" applyBorder="1" applyFont="1" applyNumberFormat="1">
      <alignment horizontal="center" vertical="center"/>
    </xf>
    <xf borderId="23" fillId="0" fontId="3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vertical="center"/>
    </xf>
    <xf borderId="25" fillId="0" fontId="4" numFmtId="10" xfId="0" applyAlignment="1" applyBorder="1" applyFont="1" applyNumberFormat="1">
      <alignment horizontal="center" vertical="center"/>
    </xf>
    <xf borderId="24" fillId="0" fontId="4" numFmtId="10" xfId="0" applyAlignment="1" applyBorder="1" applyFont="1" applyNumberFormat="1">
      <alignment horizontal="center" vertical="center"/>
    </xf>
    <xf borderId="25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shrinkToFit="0" vertical="center" wrapText="1"/>
    </xf>
    <xf borderId="20" fillId="0" fontId="3" numFmtId="10" xfId="0" applyAlignment="1" applyBorder="1" applyFont="1" applyNumberFormat="1">
      <alignment horizontal="center" vertical="center"/>
    </xf>
    <xf borderId="26" fillId="0" fontId="3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vertical="center"/>
    </xf>
    <xf borderId="28" fillId="0" fontId="4" numFmtId="10" xfId="0" applyAlignment="1" applyBorder="1" applyFont="1" applyNumberFormat="1">
      <alignment horizontal="center" vertical="center"/>
    </xf>
    <xf borderId="27" fillId="0" fontId="4" numFmtId="10" xfId="0" applyAlignment="1" applyBorder="1" applyFont="1" applyNumberFormat="1">
      <alignment horizontal="center" vertical="center"/>
    </xf>
    <xf borderId="28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shrinkToFit="0" vertical="center" wrapText="1"/>
    </xf>
    <xf borderId="30" fillId="0" fontId="3" numFmtId="10" xfId="0" applyAlignment="1" applyBorder="1" applyFont="1" applyNumberFormat="1">
      <alignment horizontal="center" vertical="center"/>
    </xf>
    <xf borderId="31" fillId="0" fontId="3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vertical="center"/>
    </xf>
    <xf borderId="33" fillId="0" fontId="4" numFmtId="10" xfId="0" applyAlignment="1" applyBorder="1" applyFont="1" applyNumberFormat="1">
      <alignment horizontal="center" vertical="center"/>
    </xf>
    <xf borderId="32" fillId="0" fontId="4" numFmtId="10" xfId="0" applyAlignment="1" applyBorder="1" applyFont="1" applyNumberFormat="1">
      <alignment horizontal="center" vertical="center"/>
    </xf>
    <xf borderId="33" fillId="0" fontId="3" numFmtId="0" xfId="0" applyAlignment="1" applyBorder="1" applyFont="1">
      <alignment horizontal="center" vertical="center"/>
    </xf>
    <xf borderId="11" fillId="0" fontId="3" numFmtId="10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center" shrinkToFit="0" vertical="center" wrapText="1"/>
    </xf>
    <xf borderId="13" fillId="0" fontId="3" numFmtId="10" xfId="0" applyAlignment="1" applyBorder="1" applyFont="1" applyNumberFormat="1">
      <alignment horizontal="center" vertical="center"/>
    </xf>
    <xf borderId="34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37" fillId="0" fontId="3" numFmtId="0" xfId="0" applyAlignment="1" applyBorder="1" applyFont="1">
      <alignment horizontal="center" shrinkToFit="0" vertical="center" wrapText="1"/>
    </xf>
    <xf borderId="38" fillId="0" fontId="3" numFmtId="10" xfId="0" applyAlignment="1" applyBorder="1" applyFont="1" applyNumberFormat="1">
      <alignment horizontal="center" vertical="center"/>
    </xf>
    <xf borderId="39" fillId="0" fontId="4" numFmtId="0" xfId="0" applyAlignment="1" applyBorder="1" applyFont="1">
      <alignment horizontal="center" vertical="center"/>
    </xf>
    <xf borderId="40" fillId="0" fontId="4" numFmtId="10" xfId="0" applyAlignment="1" applyBorder="1" applyFont="1" applyNumberFormat="1">
      <alignment horizontal="center" vertical="center"/>
    </xf>
    <xf borderId="39" fillId="0" fontId="4" numFmtId="10" xfId="0" applyAlignment="1" applyBorder="1" applyFont="1" applyNumberFormat="1">
      <alignment horizontal="center" vertical="center"/>
    </xf>
    <xf borderId="40" fillId="0" fontId="3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Font="1"/>
    <xf borderId="41" fillId="2" fontId="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41" fillId="2" fontId="1" numFmtId="0" xfId="0" applyAlignment="1" applyBorder="1" applyFont="1">
      <alignment horizontal="center" shrinkToFit="0" wrapText="1"/>
    </xf>
    <xf borderId="42" fillId="2" fontId="1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shrinkToFit="0" vertical="center" wrapText="1"/>
    </xf>
    <xf borderId="44" fillId="0" fontId="3" numFmtId="10" xfId="0" applyAlignment="1" applyBorder="1" applyFont="1" applyNumberFormat="1">
      <alignment horizontal="center" vertical="center"/>
    </xf>
    <xf borderId="16" fillId="0" fontId="4" numFmtId="0" xfId="0" applyBorder="1" applyFont="1"/>
    <xf borderId="17" fillId="0" fontId="4" numFmtId="10" xfId="0" applyAlignment="1" applyBorder="1" applyFont="1" applyNumberFormat="1">
      <alignment horizontal="center"/>
    </xf>
    <xf borderId="16" fillId="0" fontId="4" numFmtId="10" xfId="0" applyBorder="1" applyFont="1" applyNumberFormat="1"/>
    <xf borderId="0" fillId="3" fontId="6" numFmtId="0" xfId="0" applyAlignment="1" applyFill="1" applyFont="1">
      <alignment vertical="center"/>
    </xf>
    <xf borderId="24" fillId="0" fontId="4" numFmtId="0" xfId="0" applyBorder="1" applyFont="1"/>
    <xf borderId="25" fillId="0" fontId="4" numFmtId="10" xfId="0" applyAlignment="1" applyBorder="1" applyFont="1" applyNumberFormat="1">
      <alignment horizontal="center"/>
    </xf>
    <xf borderId="24" fillId="0" fontId="4" numFmtId="10" xfId="0" applyBorder="1" applyFont="1" applyNumberFormat="1"/>
    <xf borderId="27" fillId="0" fontId="4" numFmtId="0" xfId="0" applyBorder="1" applyFont="1"/>
    <xf borderId="28" fillId="0" fontId="4" numFmtId="10" xfId="0" applyAlignment="1" applyBorder="1" applyFont="1" applyNumberFormat="1">
      <alignment horizontal="center"/>
    </xf>
    <xf borderId="27" fillId="0" fontId="4" numFmtId="10" xfId="0" applyBorder="1" applyFont="1" applyNumberFormat="1"/>
    <xf borderId="32" fillId="0" fontId="4" numFmtId="0" xfId="0" applyBorder="1" applyFont="1"/>
    <xf borderId="33" fillId="0" fontId="4" numFmtId="10" xfId="0" applyAlignment="1" applyBorder="1" applyFont="1" applyNumberFormat="1">
      <alignment horizontal="center"/>
    </xf>
    <xf borderId="32" fillId="0" fontId="4" numFmtId="10" xfId="0" applyBorder="1" applyFont="1" applyNumberFormat="1"/>
    <xf borderId="8" fillId="0" fontId="4" numFmtId="0" xfId="0" applyBorder="1" applyFont="1"/>
    <xf borderId="9" fillId="0" fontId="4" numFmtId="10" xfId="0" applyAlignment="1" applyBorder="1" applyFont="1" applyNumberFormat="1">
      <alignment horizontal="center"/>
    </xf>
    <xf borderId="8" fillId="0" fontId="4" numFmtId="10" xfId="0" applyBorder="1" applyFont="1" applyNumberFormat="1"/>
    <xf borderId="45" fillId="0" fontId="3" numFmtId="0" xfId="0" applyAlignment="1" applyBorder="1" applyFont="1">
      <alignment horizontal="center" shrinkToFit="0" vertical="center" wrapText="1"/>
    </xf>
    <xf borderId="46" fillId="0" fontId="3" numFmtId="10" xfId="0" applyAlignment="1" applyBorder="1" applyFont="1" applyNumberFormat="1">
      <alignment horizontal="center" vertical="center"/>
    </xf>
    <xf borderId="47" fillId="0" fontId="3" numFmtId="0" xfId="0" applyAlignment="1" applyBorder="1" applyFont="1">
      <alignment horizontal="center" shrinkToFit="0" vertical="center" wrapText="1"/>
    </xf>
    <xf borderId="48" fillId="0" fontId="4" numFmtId="0" xfId="0" applyBorder="1" applyFont="1"/>
    <xf borderId="49" fillId="0" fontId="4" numFmtId="10" xfId="0" applyAlignment="1" applyBorder="1" applyFont="1" applyNumberFormat="1">
      <alignment horizontal="center"/>
    </xf>
    <xf borderId="48" fillId="0" fontId="4" numFmtId="10" xfId="0" applyBorder="1" applyFont="1" applyNumberFormat="1"/>
    <xf borderId="49" fillId="0" fontId="3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center" shrinkToFit="0" vertical="center" wrapText="1"/>
    </xf>
    <xf borderId="51" fillId="0" fontId="3" numFmtId="10" xfId="0" applyAlignment="1" applyBorder="1" applyFont="1" applyNumberFormat="1">
      <alignment horizontal="center" vertical="center"/>
    </xf>
    <xf borderId="52" fillId="0" fontId="4" numFmtId="0" xfId="0" applyBorder="1" applyFont="1"/>
    <xf borderId="53" fillId="0" fontId="4" numFmtId="10" xfId="0" applyAlignment="1" applyBorder="1" applyFont="1" applyNumberFormat="1">
      <alignment horizontal="center"/>
    </xf>
    <xf borderId="52" fillId="0" fontId="4" numFmtId="10" xfId="0" applyBorder="1" applyFont="1" applyNumberFormat="1"/>
    <xf borderId="53" fillId="0" fontId="3" numFmtId="0" xfId="0" applyAlignment="1" applyBorder="1" applyFont="1">
      <alignment horizontal="center" vertical="center"/>
    </xf>
    <xf borderId="19" fillId="0" fontId="4" numFmtId="0" xfId="0" applyBorder="1" applyFont="1"/>
    <xf borderId="19" fillId="0" fontId="4" numFmtId="0" xfId="0" applyAlignment="1" applyBorder="1" applyFont="1">
      <alignment vertical="bottom"/>
    </xf>
    <xf borderId="28" fillId="0" fontId="4" numFmtId="10" xfId="0" applyAlignment="1" applyBorder="1" applyFont="1" applyNumberFormat="1">
      <alignment horizontal="center" vertical="bottom"/>
    </xf>
    <xf borderId="19" fillId="0" fontId="4" numFmtId="10" xfId="0" applyAlignment="1" applyBorder="1" applyFont="1" applyNumberFormat="1">
      <alignment vertical="bottom"/>
    </xf>
    <xf borderId="28" fillId="0" fontId="4" numFmtId="0" xfId="0" applyAlignment="1" applyBorder="1" applyFont="1">
      <alignment horizontal="center"/>
    </xf>
    <xf borderId="54" fillId="0" fontId="4" numFmtId="10" xfId="0" applyAlignment="1" applyBorder="1" applyFont="1" applyNumberFormat="1">
      <alignment horizontal="center" vertical="center"/>
    </xf>
    <xf borderId="12" fillId="0" fontId="4" numFmtId="0" xfId="0" applyBorder="1" applyFont="1"/>
    <xf borderId="12" fillId="0" fontId="4" numFmtId="0" xfId="0" applyAlignment="1" applyBorder="1" applyFont="1">
      <alignment vertical="bottom"/>
    </xf>
    <xf borderId="9" fillId="0" fontId="4" numFmtId="10" xfId="0" applyAlignment="1" applyBorder="1" applyFont="1" applyNumberFormat="1">
      <alignment horizontal="center" vertical="bottom"/>
    </xf>
    <xf borderId="12" fillId="0" fontId="4" numFmtId="10" xfId="0" applyAlignment="1" applyBorder="1" applyFont="1" applyNumberFormat="1">
      <alignment vertical="bottom"/>
    </xf>
    <xf borderId="9" fillId="0" fontId="4" numFmtId="0" xfId="0" applyAlignment="1" applyBorder="1" applyFont="1">
      <alignment horizontal="center"/>
    </xf>
    <xf borderId="54" fillId="0" fontId="2" numFmtId="0" xfId="0" applyBorder="1" applyFont="1"/>
    <xf borderId="14" fillId="0" fontId="4" numFmtId="0" xfId="0" applyBorder="1" applyFont="1"/>
    <xf borderId="14" fillId="0" fontId="4" numFmtId="0" xfId="0" applyAlignment="1" applyBorder="1" applyFont="1">
      <alignment vertical="bottom"/>
    </xf>
    <xf borderId="17" fillId="0" fontId="4" numFmtId="10" xfId="0" applyAlignment="1" applyBorder="1" applyFont="1" applyNumberFormat="1">
      <alignment horizontal="center" vertical="bottom"/>
    </xf>
    <xf borderId="14" fillId="0" fontId="4" numFmtId="10" xfId="0" applyAlignment="1" applyBorder="1" applyFont="1" applyNumberFormat="1">
      <alignment vertical="bottom"/>
    </xf>
    <xf borderId="17" fillId="0" fontId="4" numFmtId="0" xfId="0" applyAlignment="1" applyBorder="1" applyFont="1">
      <alignment horizontal="center"/>
    </xf>
    <xf borderId="28" fillId="0" fontId="2" numFmtId="0" xfId="0" applyBorder="1" applyFont="1"/>
    <xf borderId="21" fillId="0" fontId="4" numFmtId="0" xfId="0" applyBorder="1" applyFont="1"/>
    <xf borderId="21" fillId="0" fontId="4" numFmtId="0" xfId="0" applyAlignment="1" applyBorder="1" applyFont="1">
      <alignment vertical="bottom"/>
    </xf>
    <xf borderId="25" fillId="0" fontId="4" numFmtId="10" xfId="0" applyAlignment="1" applyBorder="1" applyFont="1" applyNumberFormat="1">
      <alignment horizontal="center" vertical="bottom"/>
    </xf>
    <xf borderId="21" fillId="0" fontId="4" numFmtId="10" xfId="0" applyAlignment="1" applyBorder="1" applyFont="1" applyNumberFormat="1">
      <alignment vertical="bottom"/>
    </xf>
    <xf borderId="25" fillId="0" fontId="4" numFmtId="0" xfId="0" applyAlignment="1" applyBorder="1" applyFont="1">
      <alignment horizontal="center"/>
    </xf>
    <xf borderId="55" fillId="0" fontId="3" numFmtId="0" xfId="0" applyAlignment="1" applyBorder="1" applyFont="1">
      <alignment horizontal="center" shrinkToFit="0" vertical="center" wrapText="1"/>
    </xf>
    <xf borderId="56" fillId="0" fontId="3" numFmtId="10" xfId="0" applyAlignment="1" applyBorder="1" applyFont="1" applyNumberFormat="1">
      <alignment horizontal="center" vertical="center"/>
    </xf>
    <xf borderId="57" fillId="0" fontId="3" numFmtId="0" xfId="0" applyAlignment="1" applyBorder="1" applyFont="1">
      <alignment horizontal="center" shrinkToFit="0" vertical="center" wrapText="1"/>
    </xf>
    <xf borderId="58" fillId="0" fontId="4" numFmtId="0" xfId="0" applyBorder="1" applyFont="1"/>
    <xf borderId="59" fillId="0" fontId="4" numFmtId="10" xfId="0" applyAlignment="1" applyBorder="1" applyFont="1" applyNumberFormat="1">
      <alignment horizontal="center"/>
    </xf>
    <xf borderId="58" fillId="0" fontId="4" numFmtId="10" xfId="0" applyBorder="1" applyFont="1" applyNumberFormat="1"/>
    <xf borderId="59" fillId="0" fontId="3" numFmtId="0" xfId="0" applyAlignment="1" applyBorder="1" applyFont="1">
      <alignment horizontal="center" vertical="center"/>
    </xf>
    <xf borderId="60" fillId="0" fontId="3" numFmtId="0" xfId="0" applyAlignment="1" applyBorder="1" applyFont="1">
      <alignment horizontal="center" shrinkToFit="0" vertical="center" wrapText="1"/>
    </xf>
    <xf borderId="61" fillId="0" fontId="3" numFmtId="10" xfId="0" applyAlignment="1" applyBorder="1" applyFont="1" applyNumberFormat="1">
      <alignment horizontal="center" vertical="center"/>
    </xf>
    <xf borderId="62" fillId="0" fontId="3" numFmtId="0" xfId="0" applyAlignment="1" applyBorder="1" applyFont="1">
      <alignment horizontal="center" shrinkToFit="0" vertical="center" wrapText="1"/>
    </xf>
    <xf borderId="63" fillId="0" fontId="3" numFmtId="0" xfId="0" applyAlignment="1" applyBorder="1" applyFont="1">
      <alignment horizontal="center" vertical="center"/>
    </xf>
    <xf borderId="0" fillId="3" fontId="6" numFmtId="0" xfId="0" applyAlignment="1" applyFont="1">
      <alignment horizontal="left"/>
    </xf>
    <xf borderId="35" fillId="0" fontId="3" numFmtId="0" xfId="0" applyAlignment="1" applyBorder="1" applyFont="1">
      <alignment horizontal="center" shrinkToFit="0" vertical="center" wrapText="1"/>
    </xf>
    <xf borderId="36" fillId="0" fontId="3" numFmtId="10" xfId="0" applyAlignment="1" applyBorder="1" applyFont="1" applyNumberFormat="1">
      <alignment horizontal="center" vertical="center"/>
    </xf>
    <xf borderId="64" fillId="0" fontId="3" numFmtId="0" xfId="0" applyAlignment="1" applyBorder="1" applyFont="1">
      <alignment horizontal="center" shrinkToFit="0" vertical="center" wrapText="1"/>
    </xf>
    <xf borderId="65" fillId="0" fontId="4" numFmtId="0" xfId="0" applyBorder="1" applyFont="1"/>
    <xf borderId="66" fillId="0" fontId="4" numFmtId="10" xfId="0" applyAlignment="1" applyBorder="1" applyFont="1" applyNumberFormat="1">
      <alignment horizontal="center"/>
    </xf>
    <xf borderId="65" fillId="0" fontId="4" numFmtId="10" xfId="0" applyBorder="1" applyFont="1" applyNumberFormat="1"/>
    <xf borderId="66" fillId="0" fontId="3" numFmtId="0" xfId="0" applyAlignment="1" applyBorder="1" applyFont="1">
      <alignment horizontal="center" vertical="center"/>
    </xf>
    <xf borderId="34" fillId="0" fontId="4" numFmtId="0" xfId="0" applyBorder="1" applyFont="1"/>
    <xf borderId="67" fillId="0" fontId="3" numFmtId="0" xfId="0" applyAlignment="1" applyBorder="1" applyFont="1">
      <alignment horizontal="center" shrinkToFit="0" vertical="center" wrapText="1"/>
    </xf>
    <xf borderId="68" fillId="0" fontId="3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40" fillId="0" fontId="4" numFmtId="10" xfId="0" applyAlignment="1" applyBorder="1" applyFont="1" applyNumberFormat="1">
      <alignment horizontal="center"/>
    </xf>
    <xf borderId="39" fillId="0" fontId="4" numFmtId="10" xfId="0" applyBorder="1" applyFont="1" applyNumberFormat="1"/>
    <xf borderId="69" fillId="0" fontId="3" numFmtId="0" xfId="0" applyAlignment="1" applyBorder="1" applyFont="1">
      <alignment horizontal="center" shrinkToFit="0" vertical="center" wrapText="1"/>
    </xf>
    <xf borderId="70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/>
    </xf>
    <xf borderId="71" fillId="0" fontId="3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/>
    </xf>
    <xf borderId="34" fillId="0" fontId="2" numFmtId="0" xfId="0" applyBorder="1" applyFont="1"/>
    <xf borderId="34" fillId="0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31" fillId="0" fontId="4" numFmtId="0" xfId="0" applyAlignment="1" applyBorder="1" applyFont="1">
      <alignment horizontal="center"/>
    </xf>
    <xf borderId="47" fillId="0" fontId="4" numFmtId="0" xfId="0" applyAlignment="1" applyBorder="1" applyFont="1">
      <alignment horizontal="center"/>
    </xf>
    <xf borderId="45" fillId="0" fontId="4" numFmtId="0" xfId="0" applyAlignment="1" applyBorder="1" applyFont="1">
      <alignment horizontal="center" vertical="center"/>
    </xf>
    <xf borderId="50" fillId="0" fontId="4" numFmtId="0" xfId="0" applyBorder="1" applyFont="1"/>
    <xf borderId="23" fillId="0" fontId="4" numFmtId="0" xfId="0" applyBorder="1" applyFont="1"/>
    <xf borderId="72" fillId="0" fontId="4" numFmtId="0" xfId="0" applyBorder="1" applyFont="1"/>
    <xf borderId="73" fillId="0" fontId="4" numFmtId="10" xfId="0" applyAlignment="1" applyBorder="1" applyFont="1" applyNumberFormat="1">
      <alignment horizontal="center"/>
    </xf>
    <xf borderId="72" fillId="0" fontId="4" numFmtId="10" xfId="0" applyBorder="1" applyFont="1" applyNumberFormat="1"/>
    <xf borderId="73" fillId="0" fontId="3" numFmtId="0" xfId="0" applyAlignment="1" applyBorder="1" applyFont="1">
      <alignment horizontal="center" vertical="center"/>
    </xf>
    <xf borderId="52" fillId="0" fontId="4" numFmtId="0" xfId="0" applyAlignment="1" applyBorder="1" applyFont="1">
      <alignment horizontal="center"/>
    </xf>
    <xf borderId="74" fillId="0" fontId="4" numFmtId="10" xfId="0" applyBorder="1" applyFont="1" applyNumberFormat="1"/>
    <xf borderId="50" fillId="0" fontId="4" numFmtId="10" xfId="0" applyAlignment="1" applyBorder="1" applyFont="1" applyNumberFormat="1">
      <alignment horizontal="center"/>
    </xf>
    <xf borderId="14" fillId="0" fontId="4" numFmtId="10" xfId="0" applyBorder="1" applyFont="1" applyNumberFormat="1"/>
    <xf borderId="18" fillId="0" fontId="4" numFmtId="0" xfId="0" applyBorder="1" applyFont="1"/>
    <xf borderId="18" fillId="0" fontId="4" numFmtId="10" xfId="0" applyAlignment="1" applyBorder="1" applyFont="1" applyNumberFormat="1">
      <alignment horizontal="center"/>
    </xf>
    <xf borderId="14" fillId="0" fontId="4" numFmtId="0" xfId="0" applyAlignment="1" applyBorder="1" applyFont="1">
      <alignment horizontal="center"/>
    </xf>
    <xf borderId="26" fillId="0" fontId="2" numFmtId="0" xfId="0" applyBorder="1" applyFont="1"/>
    <xf borderId="24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23" fillId="0" fontId="4" numFmtId="10" xfId="0" applyAlignment="1" applyBorder="1" applyFont="1" applyNumberFormat="1">
      <alignment horizontal="center"/>
    </xf>
    <xf borderId="0" fillId="0" fontId="3" numFmtId="0" xfId="0" applyAlignment="1" applyFont="1">
      <alignment horizontal="center" shrinkToFit="0" vertical="center" wrapText="1"/>
    </xf>
    <xf borderId="49" fillId="0" fontId="4" numFmtId="10" xfId="0" applyAlignment="1" applyBorder="1" applyFont="1" applyNumberFormat="1">
      <alignment horizontal="center" vertical="center"/>
    </xf>
    <xf borderId="74" fillId="0" fontId="4" numFmtId="0" xfId="0" applyBorder="1" applyFont="1"/>
    <xf borderId="74" fillId="0" fontId="4" numFmtId="0" xfId="0" applyAlignment="1" applyBorder="1" applyFont="1">
      <alignment vertical="bottom"/>
    </xf>
    <xf borderId="53" fillId="0" fontId="4" numFmtId="10" xfId="0" applyAlignment="1" applyBorder="1" applyFont="1" applyNumberFormat="1">
      <alignment horizontal="center" vertical="bottom"/>
    </xf>
    <xf borderId="74" fillId="0" fontId="4" numFmtId="10" xfId="0" applyAlignment="1" applyBorder="1" applyFont="1" applyNumberFormat="1">
      <alignment vertical="bottom"/>
    </xf>
    <xf borderId="53" fillId="0" fontId="4" numFmtId="0" xfId="0" applyAlignment="1" applyBorder="1" applyFont="1">
      <alignment horizontal="center"/>
    </xf>
    <xf borderId="0" fillId="3" fontId="7" numFmtId="0" xfId="0" applyAlignment="1" applyFont="1">
      <alignment vertical="bottom"/>
    </xf>
    <xf borderId="4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vertical="bottom"/>
    </xf>
    <xf borderId="17" fillId="0" fontId="4" numFmtId="0" xfId="0" applyAlignment="1" applyBorder="1" applyFont="1">
      <alignment horizontal="center" vertical="bottom"/>
    </xf>
    <xf borderId="21" fillId="0" fontId="4" numFmtId="0" xfId="0" applyAlignment="1" applyBorder="1" applyFont="1">
      <alignment horizontal="center" vertical="bottom"/>
    </xf>
    <xf borderId="25" fillId="0" fontId="4" numFmtId="0" xfId="0" applyAlignment="1" applyBorder="1" applyFont="1">
      <alignment horizontal="center" vertical="bottom"/>
    </xf>
    <xf borderId="66" fillId="0" fontId="2" numFmtId="0" xfId="0" applyBorder="1" applyFont="1"/>
    <xf borderId="68" fillId="0" fontId="4" numFmtId="0" xfId="0" applyAlignment="1" applyBorder="1" applyFont="1">
      <alignment horizontal="center" vertical="bottom"/>
    </xf>
    <xf borderId="40" fillId="0" fontId="4" numFmtId="10" xfId="0" applyAlignment="1" applyBorder="1" applyFont="1" applyNumberFormat="1">
      <alignment horizontal="center" vertical="bottom"/>
    </xf>
    <xf borderId="68" fillId="0" fontId="4" numFmtId="0" xfId="0" applyAlignment="1" applyBorder="1" applyFont="1">
      <alignment vertical="bottom"/>
    </xf>
    <xf borderId="68" fillId="0" fontId="4" numFmtId="10" xfId="0" applyAlignment="1" applyBorder="1" applyFont="1" applyNumberFormat="1">
      <alignment vertical="bottom"/>
    </xf>
    <xf borderId="40" fillId="0" fontId="4" numFmtId="0" xfId="0" applyAlignment="1" applyBorder="1" applyFont="1">
      <alignment horizontal="center" vertical="bottom"/>
    </xf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'Фундаментальные'!$A$2:$A$19</c:f>
            </c:strRef>
          </c:cat>
          <c:val>
            <c:numRef>
              <c:f>'Фундаментальные'!$B$2:$B$19</c:f>
              <c:numCache/>
            </c:numRef>
          </c:val>
        </c:ser>
        <c:axId val="1087630680"/>
        <c:axId val="597270560"/>
      </c:barChart>
      <c:catAx>
        <c:axId val="1087630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597270560"/>
      </c:catAx>
      <c:valAx>
        <c:axId val="59727056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08763068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'Окружение'!$A$2:$A$41</c:f>
            </c:strRef>
          </c:cat>
          <c:val>
            <c:numRef>
              <c:f>'Окружение'!$B$2:$B$41</c:f>
              <c:numCache/>
            </c:numRef>
          </c:val>
        </c:ser>
        <c:axId val="472432584"/>
        <c:axId val="708747715"/>
      </c:barChart>
      <c:catAx>
        <c:axId val="472432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708747715"/>
      </c:catAx>
      <c:valAx>
        <c:axId val="70874771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47243258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'Тестрирование'!$A$2:$A$6</c:f>
            </c:strRef>
          </c:cat>
          <c:val>
            <c:numRef>
              <c:f>'Тестрирование'!$B$2:$B$6</c:f>
              <c:numCache/>
            </c:numRef>
          </c:val>
        </c:ser>
        <c:axId val="1814682795"/>
        <c:axId val="1541163181"/>
      </c:barChart>
      <c:catAx>
        <c:axId val="1814682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541163181"/>
      </c:catAx>
      <c:valAx>
        <c:axId val="154116318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8146827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Teamwork!$A$2:$A$3</c:f>
            </c:strRef>
          </c:cat>
          <c:val>
            <c:numRef>
              <c:f>Teamwork!$B$2:$B$3</c:f>
              <c:numCache/>
            </c:numRef>
          </c:val>
        </c:ser>
        <c:axId val="50748243"/>
        <c:axId val="640122250"/>
      </c:barChart>
      <c:catAx>
        <c:axId val="50748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640122250"/>
      </c:catAx>
      <c:valAx>
        <c:axId val="64012225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5074824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Dart!$A$2:$A$26</c:f>
            </c:strRef>
          </c:cat>
          <c:val>
            <c:numRef>
              <c:f>Dart!$B$2:$B$26</c:f>
              <c:numCache/>
            </c:numRef>
          </c:val>
        </c:ser>
        <c:axId val="12452993"/>
        <c:axId val="518237880"/>
      </c:barChart>
      <c:catAx>
        <c:axId val="12452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518237880"/>
      </c:catAx>
      <c:valAx>
        <c:axId val="51823788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245299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Flutter!$A$2:$A$51</c:f>
            </c:strRef>
          </c:cat>
          <c:val>
            <c:numRef>
              <c:f>Flutter!$B$2:$B$51</c:f>
              <c:numCache/>
            </c:numRef>
          </c:val>
        </c:ser>
        <c:axId val="1475698759"/>
        <c:axId val="564988292"/>
      </c:barChart>
      <c:catAx>
        <c:axId val="1475698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564988292"/>
      </c:catAx>
      <c:valAx>
        <c:axId val="56498829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4756987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'Результат'!$A$1:$A$6</c:f>
            </c:strRef>
          </c:cat>
          <c:val>
            <c:numRef>
              <c:f>'Результат'!$B$1:$B$6</c:f>
              <c:numCache/>
            </c:numRef>
          </c:val>
          <c:smooth val="1"/>
        </c:ser>
        <c:axId val="726370995"/>
        <c:axId val="2068400388"/>
      </c:radarChart>
      <c:catAx>
        <c:axId val="726370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400388"/>
      </c:catAx>
      <c:valAx>
        <c:axId val="2068400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3709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190500</xdr:rowOff>
    </xdr:from>
    <xdr:ext cx="7353300" cy="46005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41</xdr:row>
      <xdr:rowOff>190500</xdr:rowOff>
    </xdr:from>
    <xdr:ext cx="8582025" cy="45815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6115050" cy="46005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5772150" cy="46005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6496050" cy="46005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51</xdr:row>
      <xdr:rowOff>190500</xdr:rowOff>
    </xdr:from>
    <xdr:ext cx="7534275" cy="46005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7686675" cy="518160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1.0"/>
    <col customWidth="1" min="3" max="3" width="20.63"/>
    <col customWidth="1" min="4" max="4" width="11.88"/>
    <col customWidth="1" min="5" max="5" width="20.63"/>
    <col customWidth="1" min="6" max="6" width="11.38"/>
    <col customWidth="1" hidden="1" min="7" max="7" width="20.63"/>
    <col customWidth="1" hidden="1" min="8" max="8" width="14.38"/>
    <col customWidth="1" hidden="1" min="9" max="9" width="20.63"/>
    <col customWidth="1" hidden="1" min="10" max="10" width="14.38"/>
    <col customWidth="1" hidden="1" min="11" max="11" width="20.63"/>
    <col customWidth="1" hidden="1" min="12" max="12" width="14.38"/>
    <col customWidth="1" min="13" max="14" width="14.38"/>
    <col customWidth="1" min="15" max="15" width="36.13"/>
    <col customWidth="1" min="16" max="16" width="122.0"/>
    <col customWidth="1" min="17" max="26" width="14.38"/>
  </cols>
  <sheetData>
    <row r="1" ht="15.7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3" t="s">
        <v>3</v>
      </c>
      <c r="H1" s="2"/>
      <c r="I1" s="3" t="s">
        <v>4</v>
      </c>
      <c r="J1" s="2"/>
      <c r="K1" s="3" t="s">
        <v>5</v>
      </c>
      <c r="L1" s="2"/>
      <c r="M1" s="4" t="s">
        <v>6</v>
      </c>
      <c r="N1" s="4" t="s">
        <v>7</v>
      </c>
      <c r="O1" s="5" t="s">
        <v>8</v>
      </c>
      <c r="P1" s="5" t="s">
        <v>9</v>
      </c>
    </row>
    <row r="2" ht="15.75" customHeight="1">
      <c r="A2" s="6" t="s">
        <v>10</v>
      </c>
      <c r="B2" s="7">
        <f>AVERAGE(D2:D6)</f>
        <v>1</v>
      </c>
      <c r="C2" s="6" t="s">
        <v>11</v>
      </c>
      <c r="D2" s="7">
        <f>AVERAGE(F2:F3)</f>
        <v>1</v>
      </c>
      <c r="E2" s="8" t="s">
        <v>12</v>
      </c>
      <c r="F2" s="9">
        <f t="shared" ref="F2:F19" si="1">M2/N2</f>
        <v>1</v>
      </c>
      <c r="G2" s="10"/>
      <c r="H2" s="11">
        <f t="shared" ref="H2:H19" si="2">M2/N2</f>
        <v>1</v>
      </c>
      <c r="I2" s="12"/>
      <c r="J2" s="11">
        <f t="shared" ref="J2:J19" si="3">M2/N2</f>
        <v>1</v>
      </c>
      <c r="K2" s="10"/>
      <c r="L2" s="11">
        <f t="shared" ref="L2:L19" si="4">M2/N2</f>
        <v>1</v>
      </c>
      <c r="M2" s="13">
        <v>1.0</v>
      </c>
      <c r="N2" s="13">
        <v>1.0</v>
      </c>
      <c r="O2" s="14" t="str">
        <f t="shared" ref="O2:O19" si="5">IFS(NOT(ISBLANK(K2)),K2,NOT(ISBLANK(I2)),I2,NOT(ISBLANK(G2)),G2,NOT(ISBLANK(E2)),E2,NOT(ISBLANK(C2)),C2,NOT(ISBLANK(A2)),A2)</f>
        <v>параметрический полиморфизм</v>
      </c>
      <c r="P2" s="15"/>
    </row>
    <row r="3" ht="15.75" customHeight="1">
      <c r="A3" s="16"/>
      <c r="B3" s="17"/>
      <c r="C3" s="18"/>
      <c r="D3" s="19"/>
      <c r="E3" s="20" t="s">
        <v>13</v>
      </c>
      <c r="F3" s="21">
        <f t="shared" si="1"/>
        <v>1</v>
      </c>
      <c r="G3" s="22"/>
      <c r="H3" s="23">
        <f t="shared" si="2"/>
        <v>1</v>
      </c>
      <c r="I3" s="24"/>
      <c r="J3" s="23">
        <f t="shared" si="3"/>
        <v>1</v>
      </c>
      <c r="K3" s="22"/>
      <c r="L3" s="23">
        <f t="shared" si="4"/>
        <v>1</v>
      </c>
      <c r="M3" s="25">
        <v>1.0</v>
      </c>
      <c r="N3" s="25">
        <v>1.0</v>
      </c>
      <c r="O3" s="14" t="str">
        <f t="shared" si="5"/>
        <v>ad-hoc полиморфизм</v>
      </c>
      <c r="P3" s="15"/>
    </row>
    <row r="4" ht="15.75" customHeight="1">
      <c r="A4" s="16"/>
      <c r="B4" s="17"/>
      <c r="C4" s="20" t="s">
        <v>14</v>
      </c>
      <c r="D4" s="21">
        <f t="shared" ref="D4:D19" si="6">F4</f>
        <v>1</v>
      </c>
      <c r="E4" s="26"/>
      <c r="F4" s="21">
        <f t="shared" si="1"/>
        <v>1</v>
      </c>
      <c r="G4" s="22"/>
      <c r="H4" s="23">
        <f t="shared" si="2"/>
        <v>1</v>
      </c>
      <c r="I4" s="24"/>
      <c r="J4" s="23">
        <f t="shared" si="3"/>
        <v>1</v>
      </c>
      <c r="K4" s="22"/>
      <c r="L4" s="23">
        <f t="shared" si="4"/>
        <v>1</v>
      </c>
      <c r="M4" s="25">
        <v>1.0</v>
      </c>
      <c r="N4" s="25">
        <v>1.0</v>
      </c>
      <c r="O4" s="14" t="str">
        <f t="shared" si="5"/>
        <v>Инкапсуляция</v>
      </c>
      <c r="P4" s="15"/>
    </row>
    <row r="5" ht="15.75" customHeight="1">
      <c r="A5" s="16"/>
      <c r="B5" s="17"/>
      <c r="C5" s="20" t="s">
        <v>15</v>
      </c>
      <c r="D5" s="21">
        <f t="shared" si="6"/>
        <v>1</v>
      </c>
      <c r="E5" s="26"/>
      <c r="F5" s="21">
        <f t="shared" si="1"/>
        <v>1</v>
      </c>
      <c r="G5" s="22"/>
      <c r="H5" s="23">
        <f t="shared" si="2"/>
        <v>1</v>
      </c>
      <c r="I5" s="24"/>
      <c r="J5" s="23">
        <f t="shared" si="3"/>
        <v>1</v>
      </c>
      <c r="K5" s="22"/>
      <c r="L5" s="23">
        <f t="shared" si="4"/>
        <v>1</v>
      </c>
      <c r="M5" s="25">
        <v>1.0</v>
      </c>
      <c r="N5" s="25">
        <v>1.0</v>
      </c>
      <c r="O5" s="14" t="str">
        <f t="shared" si="5"/>
        <v>Наследование</v>
      </c>
      <c r="P5" s="15"/>
    </row>
    <row r="6" ht="15.75" customHeight="1">
      <c r="A6" s="27"/>
      <c r="B6" s="28"/>
      <c r="C6" s="29" t="s">
        <v>16</v>
      </c>
      <c r="D6" s="30">
        <f t="shared" si="6"/>
        <v>1</v>
      </c>
      <c r="E6" s="31"/>
      <c r="F6" s="30">
        <f t="shared" si="1"/>
        <v>1</v>
      </c>
      <c r="G6" s="32"/>
      <c r="H6" s="33">
        <f t="shared" si="2"/>
        <v>1</v>
      </c>
      <c r="I6" s="34"/>
      <c r="J6" s="33">
        <f t="shared" si="3"/>
        <v>1</v>
      </c>
      <c r="K6" s="32"/>
      <c r="L6" s="33">
        <f t="shared" si="4"/>
        <v>1</v>
      </c>
      <c r="M6" s="35">
        <v>1.0</v>
      </c>
      <c r="N6" s="35">
        <v>1.0</v>
      </c>
      <c r="O6" s="14" t="str">
        <f t="shared" si="5"/>
        <v>Абстракция</v>
      </c>
      <c r="P6" s="15"/>
    </row>
    <row r="7" ht="15.75" customHeight="1">
      <c r="A7" s="36" t="s">
        <v>17</v>
      </c>
      <c r="B7" s="37">
        <f t="shared" ref="B7:B14" si="7">D7</f>
        <v>0.6</v>
      </c>
      <c r="C7" s="38"/>
      <c r="D7" s="37">
        <f t="shared" si="6"/>
        <v>0.6</v>
      </c>
      <c r="E7" s="38"/>
      <c r="F7" s="37">
        <f t="shared" si="1"/>
        <v>0.6</v>
      </c>
      <c r="G7" s="39"/>
      <c r="H7" s="40">
        <f t="shared" si="2"/>
        <v>0.6</v>
      </c>
      <c r="I7" s="41"/>
      <c r="J7" s="40">
        <f t="shared" si="3"/>
        <v>0.6</v>
      </c>
      <c r="K7" s="39"/>
      <c r="L7" s="40">
        <f t="shared" si="4"/>
        <v>0.6</v>
      </c>
      <c r="M7" s="42">
        <v>6.0</v>
      </c>
      <c r="N7" s="42">
        <v>10.0</v>
      </c>
      <c r="O7" s="14" t="str">
        <f t="shared" si="5"/>
        <v>SOLID</v>
      </c>
      <c r="P7" s="15"/>
    </row>
    <row r="8" ht="15.75" customHeight="1">
      <c r="A8" s="43" t="s">
        <v>18</v>
      </c>
      <c r="B8" s="44">
        <f t="shared" si="7"/>
        <v>0.6</v>
      </c>
      <c r="C8" s="45"/>
      <c r="D8" s="44">
        <f t="shared" si="6"/>
        <v>0.6</v>
      </c>
      <c r="E8" s="45"/>
      <c r="F8" s="44">
        <f t="shared" si="1"/>
        <v>0.6</v>
      </c>
      <c r="G8" s="46"/>
      <c r="H8" s="47">
        <f t="shared" si="2"/>
        <v>0.6</v>
      </c>
      <c r="I8" s="48"/>
      <c r="J8" s="47">
        <f t="shared" si="3"/>
        <v>0.6</v>
      </c>
      <c r="K8" s="46"/>
      <c r="L8" s="47">
        <f t="shared" si="4"/>
        <v>0.6</v>
      </c>
      <c r="M8" s="49">
        <v>6.0</v>
      </c>
      <c r="N8" s="49">
        <v>10.0</v>
      </c>
      <c r="O8" s="14" t="str">
        <f t="shared" si="5"/>
        <v>KISS</v>
      </c>
      <c r="P8" s="15"/>
    </row>
    <row r="9" ht="15.75" customHeight="1">
      <c r="A9" s="43" t="s">
        <v>19</v>
      </c>
      <c r="B9" s="44">
        <f t="shared" si="7"/>
        <v>0.3</v>
      </c>
      <c r="C9" s="45"/>
      <c r="D9" s="44">
        <f t="shared" si="6"/>
        <v>0.3</v>
      </c>
      <c r="E9" s="45"/>
      <c r="F9" s="44">
        <f t="shared" si="1"/>
        <v>0.3</v>
      </c>
      <c r="G9" s="46"/>
      <c r="H9" s="47">
        <f t="shared" si="2"/>
        <v>0.3</v>
      </c>
      <c r="I9" s="48"/>
      <c r="J9" s="47">
        <f t="shared" si="3"/>
        <v>0.3</v>
      </c>
      <c r="K9" s="46"/>
      <c r="L9" s="47">
        <f t="shared" si="4"/>
        <v>0.3</v>
      </c>
      <c r="M9" s="49">
        <v>3.0</v>
      </c>
      <c r="N9" s="49">
        <v>10.0</v>
      </c>
      <c r="O9" s="14" t="str">
        <f t="shared" si="5"/>
        <v>Функциональное программирование</v>
      </c>
      <c r="P9" s="15"/>
    </row>
    <row r="10" ht="15.75" customHeight="1">
      <c r="A10" s="43" t="s">
        <v>20</v>
      </c>
      <c r="B10" s="44">
        <f t="shared" si="7"/>
        <v>0.3</v>
      </c>
      <c r="C10" s="45"/>
      <c r="D10" s="44">
        <f t="shared" si="6"/>
        <v>0.3</v>
      </c>
      <c r="E10" s="45"/>
      <c r="F10" s="44">
        <f t="shared" si="1"/>
        <v>0.3</v>
      </c>
      <c r="G10" s="46"/>
      <c r="H10" s="47">
        <f t="shared" si="2"/>
        <v>0.3</v>
      </c>
      <c r="I10" s="48"/>
      <c r="J10" s="47">
        <f t="shared" si="3"/>
        <v>0.3</v>
      </c>
      <c r="K10" s="46"/>
      <c r="L10" s="47">
        <f t="shared" si="4"/>
        <v>0.3</v>
      </c>
      <c r="M10" s="49">
        <v>3.0</v>
      </c>
      <c r="N10" s="49">
        <v>10.0</v>
      </c>
      <c r="O10" s="14" t="str">
        <f t="shared" si="5"/>
        <v>Алгоритмы</v>
      </c>
      <c r="P10" s="15"/>
    </row>
    <row r="11" ht="15.75" customHeight="1">
      <c r="A11" s="43" t="s">
        <v>21</v>
      </c>
      <c r="B11" s="44">
        <f t="shared" si="7"/>
        <v>0.5</v>
      </c>
      <c r="C11" s="45"/>
      <c r="D11" s="44">
        <f t="shared" si="6"/>
        <v>0.5</v>
      </c>
      <c r="E11" s="45"/>
      <c r="F11" s="44">
        <f t="shared" si="1"/>
        <v>0.5</v>
      </c>
      <c r="G11" s="46"/>
      <c r="H11" s="47">
        <f t="shared" si="2"/>
        <v>0.5</v>
      </c>
      <c r="I11" s="48"/>
      <c r="J11" s="47">
        <f t="shared" si="3"/>
        <v>0.5</v>
      </c>
      <c r="K11" s="46"/>
      <c r="L11" s="47">
        <f t="shared" si="4"/>
        <v>0.5</v>
      </c>
      <c r="M11" s="49">
        <v>5.0</v>
      </c>
      <c r="N11" s="49">
        <v>10.0</v>
      </c>
      <c r="O11" s="14" t="str">
        <f t="shared" si="5"/>
        <v>Паттерны проектирования</v>
      </c>
      <c r="P11" s="15"/>
    </row>
    <row r="12" ht="15.75" customHeight="1">
      <c r="A12" s="43" t="s">
        <v>22</v>
      </c>
      <c r="B12" s="44">
        <f t="shared" si="7"/>
        <v>0.3</v>
      </c>
      <c r="C12" s="45"/>
      <c r="D12" s="44">
        <f t="shared" si="6"/>
        <v>0.3</v>
      </c>
      <c r="E12" s="45"/>
      <c r="F12" s="44">
        <f t="shared" si="1"/>
        <v>0.3</v>
      </c>
      <c r="G12" s="46"/>
      <c r="H12" s="47">
        <f t="shared" si="2"/>
        <v>0.3</v>
      </c>
      <c r="I12" s="48"/>
      <c r="J12" s="47">
        <f t="shared" si="3"/>
        <v>0.3</v>
      </c>
      <c r="K12" s="46"/>
      <c r="L12" s="47">
        <f t="shared" si="4"/>
        <v>0.3</v>
      </c>
      <c r="M12" s="49">
        <v>3.0</v>
      </c>
      <c r="N12" s="49">
        <v>10.0</v>
      </c>
      <c r="O12" s="14" t="str">
        <f t="shared" si="5"/>
        <v>Паттерны архитектуры</v>
      </c>
      <c r="P12" s="15"/>
    </row>
    <row r="13" ht="15.75" customHeight="1">
      <c r="A13" s="43" t="s">
        <v>23</v>
      </c>
      <c r="B13" s="44">
        <f t="shared" si="7"/>
        <v>0.3</v>
      </c>
      <c r="C13" s="45"/>
      <c r="D13" s="44">
        <f t="shared" si="6"/>
        <v>0.3</v>
      </c>
      <c r="E13" s="45"/>
      <c r="F13" s="44">
        <f t="shared" si="1"/>
        <v>0.3</v>
      </c>
      <c r="G13" s="46"/>
      <c r="H13" s="47">
        <f t="shared" si="2"/>
        <v>0.3</v>
      </c>
      <c r="I13" s="48"/>
      <c r="J13" s="47">
        <f t="shared" si="3"/>
        <v>0.3</v>
      </c>
      <c r="K13" s="46"/>
      <c r="L13" s="47">
        <f t="shared" si="4"/>
        <v>0.3</v>
      </c>
      <c r="M13" s="49">
        <v>3.0</v>
      </c>
      <c r="N13" s="49">
        <v>10.0</v>
      </c>
      <c r="O13" s="14" t="str">
        <f t="shared" si="5"/>
        <v>DI</v>
      </c>
      <c r="P13" s="15"/>
    </row>
    <row r="14" ht="15.75" customHeight="1">
      <c r="A14" s="43" t="s">
        <v>24</v>
      </c>
      <c r="B14" s="44">
        <f t="shared" si="7"/>
        <v>0.3</v>
      </c>
      <c r="C14" s="45"/>
      <c r="D14" s="44">
        <f t="shared" si="6"/>
        <v>0.3</v>
      </c>
      <c r="E14" s="45"/>
      <c r="F14" s="44">
        <f t="shared" si="1"/>
        <v>0.3</v>
      </c>
      <c r="G14" s="46"/>
      <c r="H14" s="47">
        <f t="shared" si="2"/>
        <v>0.3</v>
      </c>
      <c r="I14" s="48"/>
      <c r="J14" s="47">
        <f t="shared" si="3"/>
        <v>0.3</v>
      </c>
      <c r="K14" s="46"/>
      <c r="L14" s="47">
        <f t="shared" si="4"/>
        <v>0.3</v>
      </c>
      <c r="M14" s="49">
        <v>3.0</v>
      </c>
      <c r="N14" s="49">
        <v>10.0</v>
      </c>
      <c r="O14" s="14" t="str">
        <f t="shared" si="5"/>
        <v>Навыки проектирования</v>
      </c>
      <c r="P14" s="15"/>
    </row>
    <row r="15" ht="15.75" customHeight="1">
      <c r="A15" s="6" t="s">
        <v>25</v>
      </c>
      <c r="B15" s="50">
        <f>AVERAGE(D15:D17)</f>
        <v>0.3</v>
      </c>
      <c r="C15" s="51" t="s">
        <v>26</v>
      </c>
      <c r="D15" s="52">
        <f t="shared" si="6"/>
        <v>0.3</v>
      </c>
      <c r="E15" s="53"/>
      <c r="F15" s="52">
        <f t="shared" si="1"/>
        <v>0.3</v>
      </c>
      <c r="G15" s="10"/>
      <c r="H15" s="11">
        <f t="shared" si="2"/>
        <v>0.3</v>
      </c>
      <c r="I15" s="12"/>
      <c r="J15" s="11">
        <f t="shared" si="3"/>
        <v>0.3</v>
      </c>
      <c r="K15" s="10"/>
      <c r="L15" s="11">
        <f t="shared" si="4"/>
        <v>0.3</v>
      </c>
      <c r="M15" s="54">
        <v>3.0</v>
      </c>
      <c r="N15" s="54">
        <v>10.0</v>
      </c>
      <c r="O15" s="14" t="str">
        <f t="shared" si="5"/>
        <v>BDD</v>
      </c>
      <c r="P15" s="15"/>
    </row>
    <row r="16" ht="15.75" customHeight="1">
      <c r="A16" s="16"/>
      <c r="B16" s="17"/>
      <c r="C16" s="20" t="s">
        <v>27</v>
      </c>
      <c r="D16" s="21">
        <f t="shared" si="6"/>
        <v>0.3</v>
      </c>
      <c r="E16" s="26"/>
      <c r="F16" s="21">
        <f t="shared" si="1"/>
        <v>0.3</v>
      </c>
      <c r="G16" s="22"/>
      <c r="H16" s="23">
        <f t="shared" si="2"/>
        <v>0.3</v>
      </c>
      <c r="I16" s="24"/>
      <c r="J16" s="23">
        <f t="shared" si="3"/>
        <v>0.3</v>
      </c>
      <c r="K16" s="22"/>
      <c r="L16" s="23">
        <f t="shared" si="4"/>
        <v>0.3</v>
      </c>
      <c r="M16" s="25">
        <v>3.0</v>
      </c>
      <c r="N16" s="25">
        <v>10.0</v>
      </c>
      <c r="O16" s="14" t="str">
        <f t="shared" si="5"/>
        <v>FDD</v>
      </c>
      <c r="P16" s="15"/>
    </row>
    <row r="17" ht="15.75" customHeight="1">
      <c r="A17" s="27"/>
      <c r="B17" s="28"/>
      <c r="C17" s="29" t="s">
        <v>28</v>
      </c>
      <c r="D17" s="30">
        <f t="shared" si="6"/>
        <v>0.3</v>
      </c>
      <c r="E17" s="31"/>
      <c r="F17" s="30">
        <f t="shared" si="1"/>
        <v>0.3</v>
      </c>
      <c r="G17" s="32"/>
      <c r="H17" s="33">
        <f t="shared" si="2"/>
        <v>0.3</v>
      </c>
      <c r="I17" s="34"/>
      <c r="J17" s="33">
        <f t="shared" si="3"/>
        <v>0.3</v>
      </c>
      <c r="K17" s="32"/>
      <c r="L17" s="33">
        <f t="shared" si="4"/>
        <v>0.3</v>
      </c>
      <c r="M17" s="35">
        <v>3.0</v>
      </c>
      <c r="N17" s="35">
        <v>10.0</v>
      </c>
      <c r="O17" s="14" t="str">
        <f t="shared" si="5"/>
        <v>DDD</v>
      </c>
      <c r="P17" s="15"/>
    </row>
    <row r="18" ht="15.75" customHeight="1">
      <c r="A18" s="6" t="s">
        <v>29</v>
      </c>
      <c r="B18" s="50">
        <f>AVERAGE(D18:D19)</f>
        <v>0.2</v>
      </c>
      <c r="C18" s="51" t="s">
        <v>30</v>
      </c>
      <c r="D18" s="52">
        <f t="shared" si="6"/>
        <v>0.3</v>
      </c>
      <c r="E18" s="53"/>
      <c r="F18" s="52">
        <f t="shared" si="1"/>
        <v>0.3</v>
      </c>
      <c r="G18" s="10"/>
      <c r="H18" s="11">
        <f t="shared" si="2"/>
        <v>0.3</v>
      </c>
      <c r="I18" s="12"/>
      <c r="J18" s="11">
        <f t="shared" si="3"/>
        <v>0.3</v>
      </c>
      <c r="K18" s="10"/>
      <c r="L18" s="11">
        <f t="shared" si="4"/>
        <v>0.3</v>
      </c>
      <c r="M18" s="54">
        <v>3.0</v>
      </c>
      <c r="N18" s="54">
        <v>10.0</v>
      </c>
      <c r="O18" s="14" t="str">
        <f t="shared" si="5"/>
        <v>noSQL</v>
      </c>
      <c r="P18" s="15"/>
    </row>
    <row r="19" ht="15.75" customHeight="1">
      <c r="A19" s="55"/>
      <c r="B19" s="56"/>
      <c r="C19" s="57" t="s">
        <v>31</v>
      </c>
      <c r="D19" s="58">
        <f t="shared" si="6"/>
        <v>0.1</v>
      </c>
      <c r="E19" s="57"/>
      <c r="F19" s="58">
        <f t="shared" si="1"/>
        <v>0.1</v>
      </c>
      <c r="G19" s="59"/>
      <c r="H19" s="60">
        <f t="shared" si="2"/>
        <v>0.1</v>
      </c>
      <c r="I19" s="61"/>
      <c r="J19" s="60">
        <f t="shared" si="3"/>
        <v>0.1</v>
      </c>
      <c r="K19" s="59"/>
      <c r="L19" s="60">
        <f t="shared" si="4"/>
        <v>0.1</v>
      </c>
      <c r="M19" s="62">
        <v>1.0</v>
      </c>
      <c r="N19" s="62">
        <v>10.0</v>
      </c>
      <c r="O19" s="14" t="str">
        <f t="shared" si="5"/>
        <v>relational</v>
      </c>
      <c r="P19" s="15"/>
    </row>
    <row r="20" ht="15.75" customHeight="1">
      <c r="A20" s="63"/>
      <c r="B20" s="5"/>
      <c r="C20" s="64"/>
      <c r="D20" s="65"/>
      <c r="E20" s="66"/>
      <c r="G20" s="67"/>
      <c r="H20" s="67"/>
      <c r="I20" s="67"/>
      <c r="J20" s="67"/>
      <c r="K20" s="67"/>
      <c r="L20" s="67"/>
      <c r="M20" s="68" t="s">
        <v>32</v>
      </c>
    </row>
    <row r="21" ht="15.75" customHeight="1">
      <c r="A21" s="63"/>
      <c r="B21" s="5"/>
      <c r="C21" s="64"/>
      <c r="D21" s="65"/>
      <c r="E21" s="66"/>
      <c r="G21" s="67"/>
      <c r="H21" s="67"/>
      <c r="I21" s="67"/>
      <c r="J21" s="67"/>
      <c r="K21" s="67"/>
      <c r="L21" s="67"/>
    </row>
    <row r="22" ht="15.75" customHeight="1">
      <c r="A22" s="63"/>
      <c r="B22" s="5"/>
      <c r="C22" s="64"/>
      <c r="D22" s="65"/>
      <c r="E22" s="66"/>
      <c r="G22" s="67"/>
      <c r="H22" s="67"/>
      <c r="I22" s="67"/>
      <c r="J22" s="67"/>
      <c r="K22" s="67"/>
      <c r="L22" s="67"/>
    </row>
    <row r="23" ht="15.75" customHeight="1">
      <c r="A23" s="63"/>
      <c r="B23" s="5"/>
      <c r="C23" s="64"/>
      <c r="D23" s="65"/>
      <c r="E23" s="66"/>
      <c r="G23" s="67"/>
      <c r="H23" s="67"/>
      <c r="I23" s="67"/>
      <c r="J23" s="67"/>
      <c r="K23" s="67"/>
      <c r="L23" s="67"/>
    </row>
    <row r="24" ht="15.75" customHeight="1">
      <c r="A24" s="63"/>
      <c r="B24" s="5"/>
      <c r="C24" s="64"/>
      <c r="D24" s="65"/>
      <c r="E24" s="66"/>
      <c r="G24" s="67"/>
      <c r="H24" s="67"/>
      <c r="I24" s="67"/>
      <c r="J24" s="67"/>
      <c r="K24" s="67"/>
      <c r="L24" s="67"/>
    </row>
    <row r="25" ht="15.75" customHeight="1">
      <c r="A25" s="63"/>
      <c r="B25" s="5"/>
      <c r="C25" s="64"/>
      <c r="D25" s="65"/>
      <c r="E25" s="66"/>
      <c r="G25" s="67"/>
      <c r="H25" s="67"/>
      <c r="I25" s="67"/>
      <c r="J25" s="67"/>
      <c r="K25" s="67"/>
      <c r="L25" s="67"/>
    </row>
    <row r="26" ht="15.75" customHeight="1">
      <c r="A26" s="63"/>
      <c r="B26" s="5"/>
      <c r="C26" s="64"/>
      <c r="D26" s="65"/>
      <c r="E26" s="66"/>
      <c r="G26" s="67"/>
      <c r="H26" s="67"/>
      <c r="I26" s="67"/>
      <c r="J26" s="67"/>
      <c r="K26" s="67"/>
      <c r="L26" s="67"/>
    </row>
    <row r="27" ht="15.75" customHeight="1">
      <c r="A27" s="63"/>
      <c r="B27" s="5"/>
      <c r="C27" s="64"/>
      <c r="D27" s="65"/>
      <c r="E27" s="66"/>
      <c r="G27" s="67"/>
      <c r="H27" s="67"/>
      <c r="I27" s="67"/>
      <c r="J27" s="67"/>
      <c r="K27" s="67"/>
      <c r="L27" s="67"/>
    </row>
    <row r="28" ht="15.75" customHeight="1">
      <c r="A28" s="63"/>
      <c r="B28" s="5"/>
      <c r="C28" s="64"/>
      <c r="D28" s="65"/>
      <c r="E28" s="66"/>
      <c r="G28" s="67"/>
      <c r="H28" s="67"/>
      <c r="I28" s="67"/>
      <c r="J28" s="67"/>
      <c r="K28" s="67"/>
      <c r="L28" s="67"/>
    </row>
    <row r="29" ht="15.75" customHeight="1">
      <c r="A29" s="63"/>
      <c r="B29" s="5"/>
      <c r="C29" s="64"/>
      <c r="D29" s="65"/>
      <c r="E29" s="66"/>
      <c r="G29" s="67"/>
      <c r="H29" s="67"/>
      <c r="I29" s="67"/>
      <c r="J29" s="67"/>
      <c r="K29" s="67"/>
      <c r="L29" s="67"/>
    </row>
    <row r="30" ht="15.75" customHeight="1">
      <c r="A30" s="63"/>
      <c r="B30" s="5"/>
      <c r="C30" s="64"/>
      <c r="D30" s="65"/>
      <c r="E30" s="66"/>
      <c r="G30" s="67"/>
      <c r="H30" s="67"/>
      <c r="I30" s="67"/>
      <c r="J30" s="67"/>
      <c r="K30" s="67"/>
      <c r="L30" s="67"/>
    </row>
    <row r="31" ht="15.75" customHeight="1">
      <c r="A31" s="63"/>
      <c r="B31" s="5"/>
      <c r="C31" s="64"/>
      <c r="D31" s="65"/>
      <c r="E31" s="66"/>
      <c r="G31" s="67"/>
      <c r="H31" s="67"/>
      <c r="I31" s="67"/>
      <c r="J31" s="67"/>
      <c r="K31" s="67"/>
      <c r="L31" s="67"/>
    </row>
    <row r="32" ht="15.75" customHeight="1">
      <c r="A32" s="63"/>
      <c r="B32" s="5"/>
      <c r="C32" s="64"/>
      <c r="D32" s="65"/>
      <c r="E32" s="66"/>
      <c r="G32" s="67"/>
      <c r="H32" s="67"/>
      <c r="I32" s="67"/>
      <c r="J32" s="67"/>
      <c r="K32" s="67"/>
      <c r="L32" s="67"/>
    </row>
    <row r="33" ht="15.75" customHeight="1">
      <c r="A33" s="63"/>
      <c r="B33" s="5"/>
      <c r="C33" s="64"/>
      <c r="D33" s="65"/>
      <c r="E33" s="66"/>
      <c r="G33" s="67"/>
      <c r="H33" s="67"/>
      <c r="I33" s="67"/>
      <c r="J33" s="67"/>
      <c r="K33" s="67"/>
      <c r="L33" s="67"/>
    </row>
    <row r="34" ht="15.75" customHeight="1">
      <c r="A34" s="63"/>
      <c r="B34" s="5"/>
      <c r="C34" s="64"/>
      <c r="D34" s="65"/>
      <c r="E34" s="66"/>
      <c r="G34" s="67"/>
      <c r="H34" s="67"/>
      <c r="I34" s="67"/>
      <c r="J34" s="67"/>
      <c r="K34" s="67"/>
      <c r="L34" s="67"/>
    </row>
    <row r="35" ht="15.75" customHeight="1">
      <c r="A35" s="63"/>
      <c r="B35" s="5"/>
      <c r="C35" s="64"/>
      <c r="D35" s="65"/>
      <c r="E35" s="66"/>
      <c r="G35" s="67"/>
      <c r="H35" s="67"/>
      <c r="I35" s="67"/>
      <c r="J35" s="67"/>
      <c r="K35" s="67"/>
      <c r="L35" s="67"/>
    </row>
    <row r="36" ht="15.75" customHeight="1">
      <c r="A36" s="63"/>
      <c r="B36" s="5"/>
      <c r="C36" s="64"/>
      <c r="D36" s="65"/>
      <c r="E36" s="66"/>
      <c r="G36" s="67"/>
      <c r="H36" s="67"/>
      <c r="I36" s="67"/>
      <c r="J36" s="67"/>
      <c r="K36" s="67"/>
      <c r="L36" s="67"/>
    </row>
    <row r="37" ht="15.75" customHeight="1">
      <c r="A37" s="63"/>
      <c r="B37" s="5"/>
      <c r="C37" s="64"/>
      <c r="D37" s="65"/>
      <c r="E37" s="66"/>
      <c r="G37" s="67"/>
      <c r="H37" s="67"/>
      <c r="I37" s="67"/>
      <c r="J37" s="67"/>
      <c r="K37" s="67"/>
      <c r="L37" s="67"/>
    </row>
    <row r="38" ht="15.75" customHeight="1">
      <c r="A38" s="63"/>
      <c r="B38" s="5"/>
      <c r="C38" s="64"/>
      <c r="D38" s="65"/>
      <c r="E38" s="66"/>
      <c r="G38" s="67"/>
      <c r="H38" s="67"/>
      <c r="I38" s="67"/>
      <c r="J38" s="67"/>
      <c r="K38" s="67"/>
      <c r="L38" s="67"/>
    </row>
    <row r="39" ht="15.75" customHeight="1">
      <c r="A39" s="63"/>
      <c r="B39" s="5"/>
      <c r="C39" s="64"/>
      <c r="D39" s="65"/>
      <c r="E39" s="66"/>
      <c r="G39" s="67"/>
      <c r="H39" s="67"/>
      <c r="I39" s="67"/>
      <c r="J39" s="67"/>
      <c r="K39" s="67"/>
      <c r="L39" s="67"/>
    </row>
    <row r="40" ht="15.75" customHeight="1">
      <c r="A40" s="63"/>
      <c r="B40" s="5"/>
      <c r="C40" s="64"/>
      <c r="D40" s="65"/>
      <c r="E40" s="66"/>
      <c r="G40" s="67"/>
      <c r="H40" s="67"/>
      <c r="I40" s="67"/>
      <c r="J40" s="67"/>
      <c r="K40" s="67"/>
      <c r="L40" s="67"/>
    </row>
    <row r="41" ht="15.75" customHeight="1">
      <c r="A41" s="63"/>
      <c r="B41" s="5"/>
      <c r="C41" s="64"/>
      <c r="D41" s="65"/>
      <c r="E41" s="66"/>
      <c r="G41" s="67"/>
      <c r="H41" s="67"/>
      <c r="I41" s="67"/>
      <c r="J41" s="67"/>
      <c r="K41" s="67"/>
      <c r="L41" s="67"/>
    </row>
    <row r="42" ht="15.75" customHeight="1">
      <c r="A42" s="63"/>
      <c r="B42" s="5"/>
      <c r="C42" s="64"/>
      <c r="D42" s="65"/>
      <c r="E42" s="66"/>
      <c r="G42" s="67"/>
      <c r="H42" s="67"/>
      <c r="I42" s="67"/>
      <c r="J42" s="67"/>
      <c r="K42" s="67"/>
      <c r="L42" s="67"/>
    </row>
    <row r="43" ht="15.75" customHeight="1">
      <c r="A43" s="63"/>
      <c r="B43" s="5"/>
      <c r="C43" s="64"/>
      <c r="D43" s="65"/>
      <c r="E43" s="66"/>
      <c r="G43" s="67"/>
      <c r="H43" s="67"/>
      <c r="I43" s="67"/>
      <c r="J43" s="67"/>
      <c r="K43" s="67"/>
      <c r="L43" s="67"/>
    </row>
    <row r="44" ht="15.75" customHeight="1">
      <c r="A44" s="63"/>
      <c r="B44" s="5"/>
      <c r="C44" s="64"/>
      <c r="D44" s="65"/>
      <c r="E44" s="66"/>
      <c r="G44" s="67"/>
      <c r="H44" s="67"/>
      <c r="I44" s="67"/>
      <c r="J44" s="67"/>
      <c r="K44" s="67"/>
      <c r="L44" s="6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1:D1"/>
    <mergeCell ref="C2:C3"/>
    <mergeCell ref="D2:D3"/>
    <mergeCell ref="A15:A17"/>
    <mergeCell ref="B15:B17"/>
    <mergeCell ref="A18:A19"/>
    <mergeCell ref="B18:B19"/>
    <mergeCell ref="A1:B1"/>
    <mergeCell ref="E1:F1"/>
    <mergeCell ref="G1:H1"/>
    <mergeCell ref="I1:J1"/>
    <mergeCell ref="K1:L1"/>
    <mergeCell ref="A2:A6"/>
    <mergeCell ref="B2:B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1.0"/>
    <col customWidth="1" min="3" max="3" width="20.63"/>
    <col customWidth="1" min="4" max="4" width="11.88"/>
    <col customWidth="1" hidden="1" min="5" max="5" width="20.63"/>
    <col customWidth="1" hidden="1" min="6" max="6" width="11.38"/>
    <col customWidth="1" hidden="1" min="7" max="7" width="20.63"/>
    <col customWidth="1" hidden="1" min="8" max="8" width="14.38"/>
    <col customWidth="1" hidden="1" min="9" max="9" width="20.63"/>
    <col customWidth="1" hidden="1" min="10" max="10" width="14.38"/>
    <col customWidth="1" hidden="1" min="11" max="11" width="20.63"/>
    <col customWidth="1" hidden="1" min="12" max="12" width="14.38"/>
    <col customWidth="1" min="13" max="14" width="14.38"/>
    <col customWidth="1" min="15" max="15" width="36.13"/>
    <col customWidth="1" min="16" max="16" width="122.0"/>
    <col customWidth="1" min="17" max="26" width="14.38"/>
  </cols>
  <sheetData>
    <row r="1" ht="15.75" customHeight="1">
      <c r="A1" s="69" t="s">
        <v>0</v>
      </c>
      <c r="B1" s="70"/>
      <c r="C1" s="69" t="s">
        <v>1</v>
      </c>
      <c r="D1" s="70"/>
      <c r="E1" s="69" t="s">
        <v>2</v>
      </c>
      <c r="F1" s="70"/>
      <c r="G1" s="71" t="s">
        <v>3</v>
      </c>
      <c r="H1" s="70"/>
      <c r="I1" s="71" t="s">
        <v>4</v>
      </c>
      <c r="J1" s="70"/>
      <c r="K1" s="71" t="s">
        <v>5</v>
      </c>
      <c r="L1" s="70"/>
      <c r="M1" s="72" t="s">
        <v>33</v>
      </c>
      <c r="N1" s="72" t="s">
        <v>7</v>
      </c>
      <c r="O1" s="5" t="s">
        <v>8</v>
      </c>
      <c r="P1" s="5" t="s">
        <v>9</v>
      </c>
    </row>
    <row r="2" ht="15.75" customHeight="1">
      <c r="A2" s="73" t="s">
        <v>34</v>
      </c>
      <c r="B2" s="74">
        <f>AVERAGE(D2:D4)</f>
        <v>0.5666666667</v>
      </c>
      <c r="C2" s="26" t="s">
        <v>35</v>
      </c>
      <c r="D2" s="21">
        <f t="shared" ref="D2:D41" si="1">F2</f>
        <v>0.6</v>
      </c>
      <c r="E2" s="26"/>
      <c r="F2" s="21">
        <f t="shared" ref="F2:F41" si="2">M2/N2</f>
        <v>0.6</v>
      </c>
      <c r="G2" s="75"/>
      <c r="H2" s="76">
        <f t="shared" ref="H2:H41" si="3">M2/N2</f>
        <v>0.6</v>
      </c>
      <c r="I2" s="77"/>
      <c r="J2" s="76">
        <f t="shared" ref="J2:J41" si="4">M2/N2</f>
        <v>0.6</v>
      </c>
      <c r="K2" s="75"/>
      <c r="L2" s="76">
        <f t="shared" ref="L2:L41" si="5">M2/N2</f>
        <v>0.6</v>
      </c>
      <c r="M2" s="25">
        <v>6.0</v>
      </c>
      <c r="N2" s="25">
        <v>10.0</v>
      </c>
      <c r="O2" s="78" t="str">
        <f t="shared" ref="O2:O41" si="6">IFS(NOT(ISBLANK(K2)),K2,NOT(ISBLANK(I2)),I2,NOT(ISBLANK(G2)),G2,NOT(ISBLANK(E2)),E2,NOT(ISBLANK(C2)),C2,NOT(ISBLANK(A2)),A2)</f>
        <v>Itellij</v>
      </c>
    </row>
    <row r="3" ht="15.75" customHeight="1">
      <c r="A3" s="16"/>
      <c r="B3" s="17"/>
      <c r="C3" s="26" t="s">
        <v>36</v>
      </c>
      <c r="D3" s="21">
        <f t="shared" si="1"/>
        <v>0.4</v>
      </c>
      <c r="E3" s="26"/>
      <c r="F3" s="21">
        <f t="shared" si="2"/>
        <v>0.4</v>
      </c>
      <c r="G3" s="75"/>
      <c r="H3" s="76">
        <f t="shared" si="3"/>
        <v>0.4</v>
      </c>
      <c r="I3" s="77"/>
      <c r="J3" s="76">
        <f t="shared" si="4"/>
        <v>0.4</v>
      </c>
      <c r="K3" s="75"/>
      <c r="L3" s="76">
        <f t="shared" si="5"/>
        <v>0.4</v>
      </c>
      <c r="M3" s="25">
        <v>4.0</v>
      </c>
      <c r="N3" s="25">
        <v>10.0</v>
      </c>
      <c r="O3" s="78" t="str">
        <f t="shared" si="6"/>
        <v>VSCode</v>
      </c>
    </row>
    <row r="4" ht="15.75" customHeight="1">
      <c r="A4" s="27"/>
      <c r="B4" s="28"/>
      <c r="C4" s="31" t="s">
        <v>37</v>
      </c>
      <c r="D4" s="30">
        <f t="shared" si="1"/>
        <v>0.7</v>
      </c>
      <c r="E4" s="31"/>
      <c r="F4" s="30">
        <f t="shared" si="2"/>
        <v>0.7</v>
      </c>
      <c r="G4" s="79"/>
      <c r="H4" s="80">
        <f t="shared" si="3"/>
        <v>0.7</v>
      </c>
      <c r="I4" s="81"/>
      <c r="J4" s="80">
        <f t="shared" si="4"/>
        <v>0.7</v>
      </c>
      <c r="K4" s="79"/>
      <c r="L4" s="80">
        <f t="shared" si="5"/>
        <v>0.7</v>
      </c>
      <c r="M4" s="35">
        <v>7.0</v>
      </c>
      <c r="N4" s="35">
        <v>10.0</v>
      </c>
      <c r="O4" s="78" t="str">
        <f t="shared" si="6"/>
        <v>DartPad</v>
      </c>
    </row>
    <row r="5" ht="15.75" customHeight="1">
      <c r="A5" s="36" t="s">
        <v>38</v>
      </c>
      <c r="B5" s="37">
        <f t="shared" ref="B5:B6" si="7">D5</f>
        <v>0.4</v>
      </c>
      <c r="C5" s="38"/>
      <c r="D5" s="37">
        <f t="shared" si="1"/>
        <v>0.4</v>
      </c>
      <c r="E5" s="38"/>
      <c r="F5" s="37">
        <f t="shared" si="2"/>
        <v>0.4</v>
      </c>
      <c r="G5" s="82"/>
      <c r="H5" s="83">
        <f t="shared" si="3"/>
        <v>0.4</v>
      </c>
      <c r="I5" s="84"/>
      <c r="J5" s="83">
        <f t="shared" si="4"/>
        <v>0.4</v>
      </c>
      <c r="K5" s="82"/>
      <c r="L5" s="83">
        <f t="shared" si="5"/>
        <v>0.4</v>
      </c>
      <c r="M5" s="42">
        <v>4.0</v>
      </c>
      <c r="N5" s="42">
        <v>10.0</v>
      </c>
      <c r="O5" s="78" t="str">
        <f t="shared" si="6"/>
        <v>Cli</v>
      </c>
    </row>
    <row r="6" ht="15.75" customHeight="1">
      <c r="A6" s="43" t="s">
        <v>39</v>
      </c>
      <c r="B6" s="44">
        <f t="shared" si="7"/>
        <v>0.6</v>
      </c>
      <c r="C6" s="45"/>
      <c r="D6" s="44">
        <f t="shared" si="1"/>
        <v>0.6</v>
      </c>
      <c r="E6" s="45"/>
      <c r="F6" s="44">
        <f t="shared" si="2"/>
        <v>0.6</v>
      </c>
      <c r="G6" s="85"/>
      <c r="H6" s="86">
        <f t="shared" si="3"/>
        <v>0.6</v>
      </c>
      <c r="I6" s="87"/>
      <c r="J6" s="86">
        <f t="shared" si="4"/>
        <v>0.6</v>
      </c>
      <c r="K6" s="85"/>
      <c r="L6" s="86">
        <f t="shared" si="5"/>
        <v>0.6</v>
      </c>
      <c r="M6" s="49">
        <v>6.0</v>
      </c>
      <c r="N6" s="49">
        <v>10.0</v>
      </c>
      <c r="O6" s="78" t="str">
        <f t="shared" si="6"/>
        <v>Git</v>
      </c>
    </row>
    <row r="7" ht="15.75" customHeight="1">
      <c r="A7" s="6" t="s">
        <v>40</v>
      </c>
      <c r="B7" s="50">
        <f>AVERAGE(D7:D11)</f>
        <v>0.04</v>
      </c>
      <c r="C7" s="51" t="s">
        <v>41</v>
      </c>
      <c r="D7" s="52">
        <f t="shared" si="1"/>
        <v>0.1</v>
      </c>
      <c r="E7" s="53"/>
      <c r="F7" s="52">
        <f t="shared" si="2"/>
        <v>0.1</v>
      </c>
      <c r="G7" s="88"/>
      <c r="H7" s="89">
        <f t="shared" si="3"/>
        <v>0.1</v>
      </c>
      <c r="I7" s="90"/>
      <c r="J7" s="89">
        <f t="shared" si="4"/>
        <v>0.1</v>
      </c>
      <c r="K7" s="88"/>
      <c r="L7" s="89">
        <f t="shared" si="5"/>
        <v>0.1</v>
      </c>
      <c r="M7" s="54">
        <v>1.0</v>
      </c>
      <c r="N7" s="54">
        <v>10.0</v>
      </c>
      <c r="O7" s="78" t="str">
        <f t="shared" si="6"/>
        <v>Github Actions</v>
      </c>
    </row>
    <row r="8" ht="15.75" customHeight="1">
      <c r="A8" s="16"/>
      <c r="B8" s="17"/>
      <c r="C8" s="20" t="s">
        <v>42</v>
      </c>
      <c r="D8" s="21">
        <f t="shared" si="1"/>
        <v>0.1</v>
      </c>
      <c r="E8" s="26"/>
      <c r="F8" s="21">
        <f t="shared" si="2"/>
        <v>0.1</v>
      </c>
      <c r="G8" s="75"/>
      <c r="H8" s="76">
        <f t="shared" si="3"/>
        <v>0.1</v>
      </c>
      <c r="I8" s="77"/>
      <c r="J8" s="76">
        <f t="shared" si="4"/>
        <v>0.1</v>
      </c>
      <c r="K8" s="75"/>
      <c r="L8" s="76">
        <f t="shared" si="5"/>
        <v>0.1</v>
      </c>
      <c r="M8" s="25">
        <v>1.0</v>
      </c>
      <c r="N8" s="25">
        <v>10.0</v>
      </c>
      <c r="O8" s="78" t="str">
        <f t="shared" si="6"/>
        <v>Codemagic</v>
      </c>
    </row>
    <row r="9" ht="15.75" customHeight="1">
      <c r="A9" s="16"/>
      <c r="B9" s="17"/>
      <c r="C9" s="20" t="s">
        <v>43</v>
      </c>
      <c r="D9" s="21">
        <f t="shared" si="1"/>
        <v>0</v>
      </c>
      <c r="E9" s="26"/>
      <c r="F9" s="21">
        <f t="shared" si="2"/>
        <v>0</v>
      </c>
      <c r="G9" s="75"/>
      <c r="H9" s="76">
        <f t="shared" si="3"/>
        <v>0</v>
      </c>
      <c r="I9" s="77"/>
      <c r="J9" s="76">
        <f t="shared" si="4"/>
        <v>0</v>
      </c>
      <c r="K9" s="75"/>
      <c r="L9" s="76">
        <f t="shared" si="5"/>
        <v>0</v>
      </c>
      <c r="M9" s="25">
        <v>0.0</v>
      </c>
      <c r="N9" s="25">
        <v>10.0</v>
      </c>
      <c r="O9" s="78" t="str">
        <f t="shared" si="6"/>
        <v>Appcircle</v>
      </c>
    </row>
    <row r="10" ht="15.75" customHeight="1">
      <c r="A10" s="16"/>
      <c r="B10" s="17"/>
      <c r="C10" s="20" t="s">
        <v>44</v>
      </c>
      <c r="D10" s="21">
        <f t="shared" si="1"/>
        <v>0</v>
      </c>
      <c r="E10" s="26"/>
      <c r="F10" s="21">
        <f t="shared" si="2"/>
        <v>0</v>
      </c>
      <c r="G10" s="75"/>
      <c r="H10" s="76">
        <f t="shared" si="3"/>
        <v>0</v>
      </c>
      <c r="I10" s="77"/>
      <c r="J10" s="76">
        <f t="shared" si="4"/>
        <v>0</v>
      </c>
      <c r="K10" s="75"/>
      <c r="L10" s="76">
        <f t="shared" si="5"/>
        <v>0</v>
      </c>
      <c r="M10" s="25">
        <v>0.0</v>
      </c>
      <c r="N10" s="25">
        <v>10.0</v>
      </c>
      <c r="O10" s="78" t="str">
        <f t="shared" si="6"/>
        <v>Bitrise</v>
      </c>
    </row>
    <row r="11" ht="15.75" customHeight="1">
      <c r="A11" s="27"/>
      <c r="B11" s="28"/>
      <c r="C11" s="29" t="s">
        <v>45</v>
      </c>
      <c r="D11" s="30">
        <f t="shared" si="1"/>
        <v>0</v>
      </c>
      <c r="E11" s="31"/>
      <c r="F11" s="30">
        <f t="shared" si="2"/>
        <v>0</v>
      </c>
      <c r="G11" s="79"/>
      <c r="H11" s="80">
        <f t="shared" si="3"/>
        <v>0</v>
      </c>
      <c r="I11" s="81"/>
      <c r="J11" s="80">
        <f t="shared" si="4"/>
        <v>0</v>
      </c>
      <c r="K11" s="79"/>
      <c r="L11" s="80">
        <f t="shared" si="5"/>
        <v>0</v>
      </c>
      <c r="M11" s="35">
        <v>0.0</v>
      </c>
      <c r="N11" s="35">
        <v>10.0</v>
      </c>
      <c r="O11" s="78" t="str">
        <f t="shared" si="6"/>
        <v>Fastlane</v>
      </c>
    </row>
    <row r="12" ht="15.75" customHeight="1">
      <c r="A12" s="6" t="s">
        <v>46</v>
      </c>
      <c r="B12" s="50">
        <f>AVERAGE(D12:D14)</f>
        <v>0.3333333333</v>
      </c>
      <c r="C12" s="51" t="s">
        <v>47</v>
      </c>
      <c r="D12" s="52">
        <f t="shared" si="1"/>
        <v>0.9</v>
      </c>
      <c r="E12" s="53"/>
      <c r="F12" s="52">
        <f t="shared" si="2"/>
        <v>0.9</v>
      </c>
      <c r="G12" s="88"/>
      <c r="H12" s="89">
        <f t="shared" si="3"/>
        <v>0.9</v>
      </c>
      <c r="I12" s="90"/>
      <c r="J12" s="89">
        <f t="shared" si="4"/>
        <v>0.9</v>
      </c>
      <c r="K12" s="88"/>
      <c r="L12" s="89">
        <f t="shared" si="5"/>
        <v>0.9</v>
      </c>
      <c r="M12" s="54">
        <v>9.0</v>
      </c>
      <c r="N12" s="54">
        <v>10.0</v>
      </c>
      <c r="O12" s="78" t="str">
        <f t="shared" si="6"/>
        <v>настройка правил</v>
      </c>
    </row>
    <row r="13" ht="15.75" customHeight="1">
      <c r="A13" s="16"/>
      <c r="B13" s="17"/>
      <c r="C13" s="20" t="s">
        <v>48</v>
      </c>
      <c r="D13" s="21">
        <f t="shared" si="1"/>
        <v>0</v>
      </c>
      <c r="E13" s="26"/>
      <c r="F13" s="21">
        <f t="shared" si="2"/>
        <v>0</v>
      </c>
      <c r="G13" s="75"/>
      <c r="H13" s="76">
        <f t="shared" si="3"/>
        <v>0</v>
      </c>
      <c r="I13" s="77"/>
      <c r="J13" s="76">
        <f t="shared" si="4"/>
        <v>0</v>
      </c>
      <c r="K13" s="75"/>
      <c r="L13" s="76">
        <f t="shared" si="5"/>
        <v>0</v>
      </c>
      <c r="M13" s="25">
        <v>0.0</v>
      </c>
      <c r="N13" s="25">
        <v>10.0</v>
      </c>
      <c r="O13" s="78" t="str">
        <f t="shared" si="6"/>
        <v>разработка правил</v>
      </c>
    </row>
    <row r="14" ht="15.75" customHeight="1">
      <c r="A14" s="27"/>
      <c r="B14" s="28"/>
      <c r="C14" s="29" t="s">
        <v>49</v>
      </c>
      <c r="D14" s="30">
        <f t="shared" si="1"/>
        <v>0.1</v>
      </c>
      <c r="E14" s="31"/>
      <c r="F14" s="30">
        <f t="shared" si="2"/>
        <v>0.1</v>
      </c>
      <c r="G14" s="79"/>
      <c r="H14" s="80">
        <f t="shared" si="3"/>
        <v>0.1</v>
      </c>
      <c r="I14" s="81"/>
      <c r="J14" s="80">
        <f t="shared" si="4"/>
        <v>0.1</v>
      </c>
      <c r="K14" s="79"/>
      <c r="L14" s="80">
        <f t="shared" si="5"/>
        <v>0.1</v>
      </c>
      <c r="M14" s="35">
        <v>1.0</v>
      </c>
      <c r="N14" s="35">
        <v>10.0</v>
      </c>
      <c r="O14" s="78" t="str">
        <f t="shared" si="6"/>
        <v>нативные анализаторы</v>
      </c>
    </row>
    <row r="15" ht="15.75" customHeight="1">
      <c r="A15" s="6" t="s">
        <v>50</v>
      </c>
      <c r="B15" s="50">
        <f>AVERAGE(D15:D20)</f>
        <v>0.1166666667</v>
      </c>
      <c r="C15" s="51" t="s">
        <v>51</v>
      </c>
      <c r="D15" s="52">
        <f t="shared" si="1"/>
        <v>0.2</v>
      </c>
      <c r="E15" s="53"/>
      <c r="F15" s="52">
        <f t="shared" si="2"/>
        <v>0.2</v>
      </c>
      <c r="G15" s="88"/>
      <c r="H15" s="89">
        <f t="shared" si="3"/>
        <v>0.2</v>
      </c>
      <c r="I15" s="90"/>
      <c r="J15" s="89">
        <f t="shared" si="4"/>
        <v>0.2</v>
      </c>
      <c r="K15" s="88"/>
      <c r="L15" s="89">
        <f t="shared" si="5"/>
        <v>0.2</v>
      </c>
      <c r="M15" s="54">
        <v>2.0</v>
      </c>
      <c r="N15" s="54">
        <v>10.0</v>
      </c>
      <c r="O15" s="78" t="str">
        <f t="shared" si="6"/>
        <v>Android</v>
      </c>
    </row>
    <row r="16" ht="15.75" customHeight="1">
      <c r="A16" s="16"/>
      <c r="B16" s="17"/>
      <c r="C16" s="20" t="s">
        <v>52</v>
      </c>
      <c r="D16" s="21">
        <f t="shared" si="1"/>
        <v>0</v>
      </c>
      <c r="E16" s="26"/>
      <c r="F16" s="21">
        <f t="shared" si="2"/>
        <v>0</v>
      </c>
      <c r="G16" s="75"/>
      <c r="H16" s="76">
        <f t="shared" si="3"/>
        <v>0</v>
      </c>
      <c r="I16" s="77"/>
      <c r="J16" s="76">
        <f t="shared" si="4"/>
        <v>0</v>
      </c>
      <c r="K16" s="75"/>
      <c r="L16" s="76">
        <f t="shared" si="5"/>
        <v>0</v>
      </c>
      <c r="M16" s="25">
        <v>0.0</v>
      </c>
      <c r="N16" s="25">
        <v>10.0</v>
      </c>
      <c r="O16" s="78" t="str">
        <f t="shared" si="6"/>
        <v>iOS</v>
      </c>
    </row>
    <row r="17" ht="15.75" customHeight="1">
      <c r="A17" s="16"/>
      <c r="B17" s="17"/>
      <c r="C17" s="20" t="s">
        <v>53</v>
      </c>
      <c r="D17" s="21">
        <f t="shared" si="1"/>
        <v>0</v>
      </c>
      <c r="E17" s="26"/>
      <c r="F17" s="21">
        <f t="shared" si="2"/>
        <v>0</v>
      </c>
      <c r="G17" s="75"/>
      <c r="H17" s="76">
        <f t="shared" si="3"/>
        <v>0</v>
      </c>
      <c r="I17" s="77"/>
      <c r="J17" s="76">
        <f t="shared" si="4"/>
        <v>0</v>
      </c>
      <c r="K17" s="75"/>
      <c r="L17" s="76">
        <f t="shared" si="5"/>
        <v>0</v>
      </c>
      <c r="M17" s="25">
        <v>0.0</v>
      </c>
      <c r="N17" s="25">
        <v>10.0</v>
      </c>
      <c r="O17" s="78" t="str">
        <f t="shared" si="6"/>
        <v>macOS</v>
      </c>
    </row>
    <row r="18" ht="15.75" customHeight="1">
      <c r="A18" s="16"/>
      <c r="B18" s="17"/>
      <c r="C18" s="20" t="s">
        <v>54</v>
      </c>
      <c r="D18" s="21">
        <f t="shared" si="1"/>
        <v>0.2</v>
      </c>
      <c r="E18" s="26"/>
      <c r="F18" s="21">
        <f t="shared" si="2"/>
        <v>0.2</v>
      </c>
      <c r="G18" s="75"/>
      <c r="H18" s="76">
        <f t="shared" si="3"/>
        <v>0.2</v>
      </c>
      <c r="I18" s="77"/>
      <c r="J18" s="76">
        <f t="shared" si="4"/>
        <v>0.2</v>
      </c>
      <c r="K18" s="75"/>
      <c r="L18" s="76">
        <f t="shared" si="5"/>
        <v>0.2</v>
      </c>
      <c r="M18" s="25">
        <v>2.0</v>
      </c>
      <c r="N18" s="25">
        <v>10.0</v>
      </c>
      <c r="O18" s="78" t="str">
        <f t="shared" si="6"/>
        <v>Windows</v>
      </c>
    </row>
    <row r="19" ht="15.75" customHeight="1">
      <c r="A19" s="16"/>
      <c r="B19" s="17"/>
      <c r="C19" s="20" t="s">
        <v>55</v>
      </c>
      <c r="D19" s="21">
        <f t="shared" si="1"/>
        <v>0</v>
      </c>
      <c r="E19" s="26"/>
      <c r="F19" s="21">
        <f t="shared" si="2"/>
        <v>0</v>
      </c>
      <c r="G19" s="75"/>
      <c r="H19" s="76">
        <f t="shared" si="3"/>
        <v>0</v>
      </c>
      <c r="I19" s="77"/>
      <c r="J19" s="76">
        <f t="shared" si="4"/>
        <v>0</v>
      </c>
      <c r="K19" s="75"/>
      <c r="L19" s="76">
        <f t="shared" si="5"/>
        <v>0</v>
      </c>
      <c r="M19" s="25">
        <v>0.0</v>
      </c>
      <c r="N19" s="25">
        <v>10.0</v>
      </c>
      <c r="O19" s="78" t="str">
        <f t="shared" si="6"/>
        <v>Linux</v>
      </c>
    </row>
    <row r="20" ht="15.75" customHeight="1">
      <c r="A20" s="27"/>
      <c r="B20" s="28"/>
      <c r="C20" s="29" t="s">
        <v>56</v>
      </c>
      <c r="D20" s="30">
        <f t="shared" si="1"/>
        <v>0.3</v>
      </c>
      <c r="E20" s="31"/>
      <c r="F20" s="30">
        <f t="shared" si="2"/>
        <v>0.3</v>
      </c>
      <c r="G20" s="79"/>
      <c r="H20" s="80">
        <f t="shared" si="3"/>
        <v>0.3</v>
      </c>
      <c r="I20" s="81"/>
      <c r="J20" s="80">
        <f t="shared" si="4"/>
        <v>0.3</v>
      </c>
      <c r="K20" s="79"/>
      <c r="L20" s="80">
        <f t="shared" si="5"/>
        <v>0.3</v>
      </c>
      <c r="M20" s="35">
        <v>3.0</v>
      </c>
      <c r="N20" s="35">
        <v>10.0</v>
      </c>
      <c r="O20" s="78" t="str">
        <f t="shared" si="6"/>
        <v>Web</v>
      </c>
    </row>
    <row r="21" ht="15.75" customHeight="1">
      <c r="A21" s="36" t="s">
        <v>57</v>
      </c>
      <c r="B21" s="37">
        <f t="shared" ref="B21:B24" si="8">D21</f>
        <v>0.1</v>
      </c>
      <c r="C21" s="38"/>
      <c r="D21" s="37">
        <f t="shared" si="1"/>
        <v>0.1</v>
      </c>
      <c r="E21" s="38"/>
      <c r="F21" s="37">
        <f t="shared" si="2"/>
        <v>0.1</v>
      </c>
      <c r="G21" s="82"/>
      <c r="H21" s="83">
        <f t="shared" si="3"/>
        <v>0.1</v>
      </c>
      <c r="I21" s="84"/>
      <c r="J21" s="83">
        <f t="shared" si="4"/>
        <v>0.1</v>
      </c>
      <c r="K21" s="82"/>
      <c r="L21" s="83">
        <f t="shared" si="5"/>
        <v>0.1</v>
      </c>
      <c r="M21" s="42">
        <v>1.0</v>
      </c>
      <c r="N21" s="42">
        <v>10.0</v>
      </c>
      <c r="O21" s="78" t="str">
        <f t="shared" si="6"/>
        <v>backend</v>
      </c>
    </row>
    <row r="22" ht="15.75" customHeight="1">
      <c r="A22" s="43" t="s">
        <v>58</v>
      </c>
      <c r="B22" s="44">
        <f t="shared" si="8"/>
        <v>0.9</v>
      </c>
      <c r="C22" s="45"/>
      <c r="D22" s="44">
        <f t="shared" si="1"/>
        <v>0.9</v>
      </c>
      <c r="E22" s="45"/>
      <c r="F22" s="44">
        <f t="shared" si="2"/>
        <v>0.9</v>
      </c>
      <c r="G22" s="85"/>
      <c r="H22" s="86">
        <f t="shared" si="3"/>
        <v>0.9</v>
      </c>
      <c r="I22" s="87"/>
      <c r="J22" s="86">
        <f t="shared" si="4"/>
        <v>0.9</v>
      </c>
      <c r="K22" s="85"/>
      <c r="L22" s="86">
        <f t="shared" si="5"/>
        <v>0.9</v>
      </c>
      <c r="M22" s="49">
        <v>9.0</v>
      </c>
      <c r="N22" s="49">
        <v>10.0</v>
      </c>
      <c r="O22" s="78" t="str">
        <f t="shared" si="6"/>
        <v>Rest</v>
      </c>
    </row>
    <row r="23" ht="15.75" customHeight="1">
      <c r="A23" s="43" t="s">
        <v>59</v>
      </c>
      <c r="B23" s="44">
        <f t="shared" si="8"/>
        <v>0</v>
      </c>
      <c r="C23" s="45"/>
      <c r="D23" s="44">
        <f t="shared" si="1"/>
        <v>0</v>
      </c>
      <c r="E23" s="45"/>
      <c r="F23" s="44">
        <f t="shared" si="2"/>
        <v>0</v>
      </c>
      <c r="G23" s="85"/>
      <c r="H23" s="86">
        <f t="shared" si="3"/>
        <v>0</v>
      </c>
      <c r="I23" s="87"/>
      <c r="J23" s="86">
        <f t="shared" si="4"/>
        <v>0</v>
      </c>
      <c r="K23" s="85"/>
      <c r="L23" s="86">
        <f t="shared" si="5"/>
        <v>0</v>
      </c>
      <c r="M23" s="49">
        <v>0.0</v>
      </c>
      <c r="N23" s="49">
        <v>10.0</v>
      </c>
      <c r="O23" s="78" t="str">
        <f t="shared" si="6"/>
        <v>Grafql</v>
      </c>
    </row>
    <row r="24" ht="15.75" customHeight="1">
      <c r="A24" s="91" t="s">
        <v>60</v>
      </c>
      <c r="B24" s="92">
        <f t="shared" si="8"/>
        <v>0.1</v>
      </c>
      <c r="C24" s="93"/>
      <c r="D24" s="92">
        <f t="shared" si="1"/>
        <v>0.1</v>
      </c>
      <c r="E24" s="93"/>
      <c r="F24" s="92">
        <f t="shared" si="2"/>
        <v>0.1</v>
      </c>
      <c r="G24" s="94"/>
      <c r="H24" s="95">
        <f t="shared" si="3"/>
        <v>0.1</v>
      </c>
      <c r="I24" s="96"/>
      <c r="J24" s="95">
        <f t="shared" si="4"/>
        <v>0.1</v>
      </c>
      <c r="K24" s="94"/>
      <c r="L24" s="95">
        <f t="shared" si="5"/>
        <v>0.1</v>
      </c>
      <c r="M24" s="97">
        <v>1.0</v>
      </c>
      <c r="N24" s="97">
        <v>10.0</v>
      </c>
      <c r="O24" s="78" t="str">
        <f t="shared" si="6"/>
        <v>swagger</v>
      </c>
    </row>
    <row r="25" ht="15.75" customHeight="1">
      <c r="A25" s="91" t="s">
        <v>61</v>
      </c>
      <c r="B25" s="92">
        <f>AVERAGE(D25:D29)</f>
        <v>0.3</v>
      </c>
      <c r="C25" s="98" t="s">
        <v>62</v>
      </c>
      <c r="D25" s="99">
        <f t="shared" si="1"/>
        <v>0.8</v>
      </c>
      <c r="E25" s="98"/>
      <c r="F25" s="99">
        <f t="shared" si="2"/>
        <v>0.8</v>
      </c>
      <c r="G25" s="100"/>
      <c r="H25" s="101">
        <f t="shared" si="3"/>
        <v>0.8</v>
      </c>
      <c r="I25" s="102"/>
      <c r="J25" s="101">
        <f t="shared" si="4"/>
        <v>0.8</v>
      </c>
      <c r="K25" s="100"/>
      <c r="L25" s="101">
        <f t="shared" si="5"/>
        <v>0.8</v>
      </c>
      <c r="M25" s="103">
        <v>8.0</v>
      </c>
      <c r="N25" s="103">
        <v>10.0</v>
      </c>
      <c r="O25" s="78" t="str">
        <f t="shared" si="6"/>
        <v>Appstore</v>
      </c>
    </row>
    <row r="26" ht="15.75" customHeight="1">
      <c r="A26" s="16"/>
      <c r="B26" s="17"/>
      <c r="C26" s="26" t="s">
        <v>63</v>
      </c>
      <c r="D26" s="21">
        <f t="shared" si="1"/>
        <v>0.7</v>
      </c>
      <c r="E26" s="26"/>
      <c r="F26" s="21">
        <f t="shared" si="2"/>
        <v>0.7</v>
      </c>
      <c r="G26" s="75"/>
      <c r="H26" s="76">
        <f t="shared" si="3"/>
        <v>0.7</v>
      </c>
      <c r="I26" s="77"/>
      <c r="J26" s="76">
        <f t="shared" si="4"/>
        <v>0.7</v>
      </c>
      <c r="K26" s="75"/>
      <c r="L26" s="76">
        <f t="shared" si="5"/>
        <v>0.7</v>
      </c>
      <c r="M26" s="25">
        <v>7.0</v>
      </c>
      <c r="N26" s="25">
        <v>10.0</v>
      </c>
      <c r="O26" s="78" t="str">
        <f t="shared" si="6"/>
        <v>Google Play</v>
      </c>
    </row>
    <row r="27" ht="15.75" customHeight="1">
      <c r="A27" s="16"/>
      <c r="B27" s="17"/>
      <c r="C27" s="26" t="s">
        <v>64</v>
      </c>
      <c r="D27" s="21">
        <f t="shared" si="1"/>
        <v>0</v>
      </c>
      <c r="E27" s="26"/>
      <c r="F27" s="21">
        <f t="shared" si="2"/>
        <v>0</v>
      </c>
      <c r="G27" s="75"/>
      <c r="H27" s="76">
        <f t="shared" si="3"/>
        <v>0</v>
      </c>
      <c r="I27" s="77"/>
      <c r="J27" s="76">
        <f t="shared" si="4"/>
        <v>0</v>
      </c>
      <c r="K27" s="75"/>
      <c r="L27" s="76">
        <f t="shared" si="5"/>
        <v>0</v>
      </c>
      <c r="M27" s="25">
        <v>0.0</v>
      </c>
      <c r="N27" s="25">
        <v>10.0</v>
      </c>
      <c r="O27" s="78" t="str">
        <f t="shared" si="6"/>
        <v>Xiaomi Market</v>
      </c>
    </row>
    <row r="28" ht="15.75" customHeight="1">
      <c r="A28" s="16"/>
      <c r="B28" s="17"/>
      <c r="C28" s="26" t="s">
        <v>65</v>
      </c>
      <c r="D28" s="21">
        <f t="shared" si="1"/>
        <v>0</v>
      </c>
      <c r="E28" s="26"/>
      <c r="F28" s="21">
        <f t="shared" si="2"/>
        <v>0</v>
      </c>
      <c r="G28" s="75"/>
      <c r="H28" s="76">
        <f t="shared" si="3"/>
        <v>0</v>
      </c>
      <c r="I28" s="77"/>
      <c r="J28" s="76">
        <f t="shared" si="4"/>
        <v>0</v>
      </c>
      <c r="K28" s="75"/>
      <c r="L28" s="76">
        <f t="shared" si="5"/>
        <v>0</v>
      </c>
      <c r="M28" s="25">
        <v>0.0</v>
      </c>
      <c r="N28" s="25">
        <v>10.0</v>
      </c>
      <c r="O28" s="78" t="str">
        <f t="shared" si="6"/>
        <v>AppGallery</v>
      </c>
    </row>
    <row r="29" ht="15.75" customHeight="1">
      <c r="A29" s="27"/>
      <c r="B29" s="28"/>
      <c r="C29" s="31" t="s">
        <v>66</v>
      </c>
      <c r="D29" s="30">
        <f t="shared" si="1"/>
        <v>0</v>
      </c>
      <c r="E29" s="31"/>
      <c r="F29" s="30">
        <f t="shared" si="2"/>
        <v>0</v>
      </c>
      <c r="G29" s="79"/>
      <c r="H29" s="80">
        <f t="shared" si="3"/>
        <v>0</v>
      </c>
      <c r="I29" s="81"/>
      <c r="J29" s="80">
        <f t="shared" si="4"/>
        <v>0</v>
      </c>
      <c r="K29" s="79"/>
      <c r="L29" s="80">
        <f t="shared" si="5"/>
        <v>0</v>
      </c>
      <c r="M29" s="35">
        <v>0.0</v>
      </c>
      <c r="N29" s="35">
        <v>10.0</v>
      </c>
      <c r="O29" s="78" t="str">
        <f t="shared" si="6"/>
        <v>Samsung Galaxy Store</v>
      </c>
    </row>
    <row r="30" ht="15.75" customHeight="1">
      <c r="A30" s="36" t="s">
        <v>67</v>
      </c>
      <c r="B30" s="83">
        <f>D30</f>
        <v>0.3</v>
      </c>
      <c r="C30" s="36"/>
      <c r="D30" s="83">
        <f t="shared" si="1"/>
        <v>0.3</v>
      </c>
      <c r="E30" s="104"/>
      <c r="F30" s="83">
        <f t="shared" si="2"/>
        <v>0.3</v>
      </c>
      <c r="G30" s="105"/>
      <c r="H30" s="106">
        <f t="shared" si="3"/>
        <v>0.3</v>
      </c>
      <c r="I30" s="107"/>
      <c r="J30" s="106">
        <f t="shared" si="4"/>
        <v>0.3</v>
      </c>
      <c r="K30" s="105"/>
      <c r="L30" s="106">
        <f t="shared" si="5"/>
        <v>0.3</v>
      </c>
      <c r="M30" s="108">
        <v>3.0</v>
      </c>
      <c r="N30" s="108">
        <v>10.0</v>
      </c>
      <c r="O30" s="78" t="str">
        <f t="shared" si="6"/>
        <v>Firebase</v>
      </c>
      <c r="P30" s="67"/>
    </row>
    <row r="31" ht="15.75" customHeight="1">
      <c r="A31" s="6" t="s">
        <v>68</v>
      </c>
      <c r="B31" s="109">
        <f>AVERAGE(D31:D33)</f>
        <v>0.1666666667</v>
      </c>
      <c r="C31" s="51" t="s">
        <v>69</v>
      </c>
      <c r="D31" s="89">
        <f t="shared" si="1"/>
        <v>0.1</v>
      </c>
      <c r="E31" s="110"/>
      <c r="F31" s="89">
        <f t="shared" si="2"/>
        <v>0.1</v>
      </c>
      <c r="G31" s="111"/>
      <c r="H31" s="112">
        <f t="shared" si="3"/>
        <v>0.1</v>
      </c>
      <c r="I31" s="113"/>
      <c r="J31" s="112">
        <f t="shared" si="4"/>
        <v>0.1</v>
      </c>
      <c r="K31" s="111"/>
      <c r="L31" s="112">
        <f t="shared" si="5"/>
        <v>0.1</v>
      </c>
      <c r="M31" s="114">
        <v>1.0</v>
      </c>
      <c r="N31" s="114">
        <v>10.0</v>
      </c>
      <c r="O31" s="78" t="str">
        <f t="shared" si="6"/>
        <v>HIG</v>
      </c>
      <c r="P31" s="67"/>
    </row>
    <row r="32" ht="15.75" customHeight="1">
      <c r="A32" s="16"/>
      <c r="B32" s="115"/>
      <c r="C32" s="20" t="s">
        <v>70</v>
      </c>
      <c r="D32" s="76">
        <f t="shared" si="1"/>
        <v>0.3</v>
      </c>
      <c r="E32" s="116"/>
      <c r="F32" s="76">
        <f t="shared" si="2"/>
        <v>0.3</v>
      </c>
      <c r="G32" s="117"/>
      <c r="H32" s="118">
        <f t="shared" si="3"/>
        <v>0.3</v>
      </c>
      <c r="I32" s="119"/>
      <c r="J32" s="118">
        <f t="shared" si="4"/>
        <v>0.3</v>
      </c>
      <c r="K32" s="117"/>
      <c r="L32" s="118">
        <f t="shared" si="5"/>
        <v>0.3</v>
      </c>
      <c r="M32" s="120">
        <v>3.0</v>
      </c>
      <c r="N32" s="120">
        <v>10.0</v>
      </c>
      <c r="O32" s="78" t="str">
        <f t="shared" si="6"/>
        <v>Material</v>
      </c>
      <c r="P32" s="67"/>
    </row>
    <row r="33" ht="15.75" customHeight="1">
      <c r="A33" s="27"/>
      <c r="B33" s="121"/>
      <c r="C33" s="29" t="s">
        <v>71</v>
      </c>
      <c r="D33" s="80">
        <f t="shared" si="1"/>
        <v>0.1</v>
      </c>
      <c r="E33" s="122"/>
      <c r="F33" s="80">
        <f t="shared" si="2"/>
        <v>0.1</v>
      </c>
      <c r="G33" s="123"/>
      <c r="H33" s="124">
        <f t="shared" si="3"/>
        <v>0.1</v>
      </c>
      <c r="I33" s="125"/>
      <c r="J33" s="124">
        <f t="shared" si="4"/>
        <v>0.1</v>
      </c>
      <c r="K33" s="123"/>
      <c r="L33" s="124">
        <f t="shared" si="5"/>
        <v>0.1</v>
      </c>
      <c r="M33" s="126">
        <v>1.0</v>
      </c>
      <c r="N33" s="126">
        <v>10.0</v>
      </c>
      <c r="O33" s="78" t="str">
        <f t="shared" si="6"/>
        <v>Material You</v>
      </c>
      <c r="P33" s="67"/>
    </row>
    <row r="34" ht="15.75" customHeight="1">
      <c r="A34" s="36" t="s">
        <v>72</v>
      </c>
      <c r="B34" s="37">
        <f>D34</f>
        <v>0.1</v>
      </c>
      <c r="C34" s="36"/>
      <c r="D34" s="37">
        <f t="shared" si="1"/>
        <v>0.1</v>
      </c>
      <c r="E34" s="38"/>
      <c r="F34" s="37">
        <f t="shared" si="2"/>
        <v>0.1</v>
      </c>
      <c r="G34" s="82"/>
      <c r="H34" s="83">
        <f t="shared" si="3"/>
        <v>0.1</v>
      </c>
      <c r="I34" s="84"/>
      <c r="J34" s="83">
        <f t="shared" si="4"/>
        <v>0.1</v>
      </c>
      <c r="K34" s="82"/>
      <c r="L34" s="83">
        <f t="shared" si="5"/>
        <v>0.1</v>
      </c>
      <c r="M34" s="42">
        <v>1.0</v>
      </c>
      <c r="N34" s="42">
        <v>10.0</v>
      </c>
      <c r="O34" s="78" t="str">
        <f t="shared" si="6"/>
        <v>разработка плагинов/скриптов</v>
      </c>
    </row>
    <row r="35" ht="15.75" customHeight="1">
      <c r="A35" s="6" t="s">
        <v>73</v>
      </c>
      <c r="B35" s="50">
        <f>AVERAGE(D35:D39)</f>
        <v>0.28</v>
      </c>
      <c r="C35" s="51" t="s">
        <v>74</v>
      </c>
      <c r="D35" s="52">
        <f t="shared" si="1"/>
        <v>0.1</v>
      </c>
      <c r="E35" s="53"/>
      <c r="F35" s="52">
        <f t="shared" si="2"/>
        <v>0.1</v>
      </c>
      <c r="G35" s="88"/>
      <c r="H35" s="89">
        <f t="shared" si="3"/>
        <v>0.1</v>
      </c>
      <c r="I35" s="90"/>
      <c r="J35" s="89">
        <f t="shared" si="4"/>
        <v>0.1</v>
      </c>
      <c r="K35" s="88"/>
      <c r="L35" s="89">
        <f t="shared" si="5"/>
        <v>0.1</v>
      </c>
      <c r="M35" s="54">
        <v>1.0</v>
      </c>
      <c r="N35" s="54">
        <v>10.0</v>
      </c>
      <c r="O35" s="78" t="str">
        <f t="shared" si="6"/>
        <v>Kotlin</v>
      </c>
    </row>
    <row r="36" ht="15.75" customHeight="1">
      <c r="A36" s="16"/>
      <c r="B36" s="17"/>
      <c r="C36" s="20" t="s">
        <v>75</v>
      </c>
      <c r="D36" s="76">
        <f t="shared" si="1"/>
        <v>0.3</v>
      </c>
      <c r="E36" s="116"/>
      <c r="F36" s="76">
        <f t="shared" si="2"/>
        <v>0.3</v>
      </c>
      <c r="G36" s="117"/>
      <c r="H36" s="118">
        <f t="shared" si="3"/>
        <v>0.3</v>
      </c>
      <c r="I36" s="119"/>
      <c r="J36" s="118">
        <f t="shared" si="4"/>
        <v>0.3</v>
      </c>
      <c r="K36" s="117"/>
      <c r="L36" s="118">
        <f t="shared" si="5"/>
        <v>0.3</v>
      </c>
      <c r="M36" s="120">
        <v>3.0</v>
      </c>
      <c r="N36" s="120">
        <v>10.0</v>
      </c>
      <c r="O36" s="78" t="str">
        <f t="shared" si="6"/>
        <v>Java</v>
      </c>
      <c r="P36" s="67"/>
    </row>
    <row r="37" ht="15.75" customHeight="1">
      <c r="A37" s="16"/>
      <c r="B37" s="17"/>
      <c r="C37" s="20" t="s">
        <v>76</v>
      </c>
      <c r="D37" s="76">
        <f t="shared" si="1"/>
        <v>0</v>
      </c>
      <c r="E37" s="116"/>
      <c r="F37" s="76">
        <f t="shared" si="2"/>
        <v>0</v>
      </c>
      <c r="G37" s="117"/>
      <c r="H37" s="118">
        <f t="shared" si="3"/>
        <v>0</v>
      </c>
      <c r="I37" s="119"/>
      <c r="J37" s="118">
        <f t="shared" si="4"/>
        <v>0</v>
      </c>
      <c r="K37" s="117"/>
      <c r="L37" s="118">
        <f t="shared" si="5"/>
        <v>0</v>
      </c>
      <c r="M37" s="120">
        <v>0.0</v>
      </c>
      <c r="N37" s="120">
        <v>10.0</v>
      </c>
      <c r="O37" s="78" t="str">
        <f t="shared" si="6"/>
        <v>Objective C</v>
      </c>
      <c r="P37" s="67"/>
    </row>
    <row r="38" ht="15.75" customHeight="1">
      <c r="A38" s="16"/>
      <c r="B38" s="17"/>
      <c r="C38" s="20" t="s">
        <v>77</v>
      </c>
      <c r="D38" s="76">
        <f t="shared" si="1"/>
        <v>0</v>
      </c>
      <c r="E38" s="116"/>
      <c r="F38" s="76">
        <f t="shared" si="2"/>
        <v>0</v>
      </c>
      <c r="G38" s="117"/>
      <c r="H38" s="118">
        <f t="shared" si="3"/>
        <v>0</v>
      </c>
      <c r="I38" s="119"/>
      <c r="J38" s="118">
        <f t="shared" si="4"/>
        <v>0</v>
      </c>
      <c r="K38" s="117"/>
      <c r="L38" s="118">
        <f t="shared" si="5"/>
        <v>0</v>
      </c>
      <c r="M38" s="120">
        <v>0.0</v>
      </c>
      <c r="N38" s="120">
        <v>10.0</v>
      </c>
      <c r="O38" s="78" t="str">
        <f t="shared" si="6"/>
        <v>Swift</v>
      </c>
      <c r="P38" s="67"/>
    </row>
    <row r="39" ht="15.75" customHeight="1">
      <c r="A39" s="27"/>
      <c r="B39" s="28"/>
      <c r="C39" s="29" t="s">
        <v>78</v>
      </c>
      <c r="D39" s="80">
        <f t="shared" si="1"/>
        <v>1</v>
      </c>
      <c r="E39" s="122"/>
      <c r="F39" s="80">
        <f t="shared" si="2"/>
        <v>1</v>
      </c>
      <c r="G39" s="123"/>
      <c r="H39" s="124">
        <f t="shared" si="3"/>
        <v>1</v>
      </c>
      <c r="I39" s="125"/>
      <c r="J39" s="124">
        <f t="shared" si="4"/>
        <v>1</v>
      </c>
      <c r="K39" s="123"/>
      <c r="L39" s="124">
        <f t="shared" si="5"/>
        <v>1</v>
      </c>
      <c r="M39" s="126">
        <v>1.0</v>
      </c>
      <c r="N39" s="126">
        <v>1.0</v>
      </c>
      <c r="O39" s="78" t="str">
        <f t="shared" si="6"/>
        <v>другие</v>
      </c>
      <c r="P39" s="67"/>
    </row>
    <row r="40" ht="15.75" customHeight="1">
      <c r="A40" s="36" t="s">
        <v>79</v>
      </c>
      <c r="B40" s="37">
        <f t="shared" ref="B40:B41" si="9">D40</f>
        <v>0.3</v>
      </c>
      <c r="C40" s="104"/>
      <c r="D40" s="37">
        <f t="shared" si="1"/>
        <v>0.3</v>
      </c>
      <c r="E40" s="38"/>
      <c r="F40" s="37">
        <f t="shared" si="2"/>
        <v>0.3</v>
      </c>
      <c r="G40" s="82"/>
      <c r="H40" s="83">
        <f t="shared" si="3"/>
        <v>0.3</v>
      </c>
      <c r="I40" s="84"/>
      <c r="J40" s="83">
        <f t="shared" si="4"/>
        <v>0.3</v>
      </c>
      <c r="K40" s="82"/>
      <c r="L40" s="83">
        <f t="shared" si="5"/>
        <v>0.3</v>
      </c>
      <c r="M40" s="42">
        <v>3.0</v>
      </c>
      <c r="N40" s="42">
        <v>10.0</v>
      </c>
      <c r="O40" s="78" t="str">
        <f t="shared" si="6"/>
        <v>профилирование</v>
      </c>
    </row>
    <row r="41" ht="15.75" customHeight="1">
      <c r="A41" s="127" t="s">
        <v>80</v>
      </c>
      <c r="B41" s="128">
        <f t="shared" si="9"/>
        <v>0.3</v>
      </c>
      <c r="C41" s="129"/>
      <c r="D41" s="128">
        <f t="shared" si="1"/>
        <v>0.3</v>
      </c>
      <c r="E41" s="129"/>
      <c r="F41" s="128">
        <f t="shared" si="2"/>
        <v>0.3</v>
      </c>
      <c r="G41" s="130"/>
      <c r="H41" s="131">
        <f t="shared" si="3"/>
        <v>0.3</v>
      </c>
      <c r="I41" s="132"/>
      <c r="J41" s="131">
        <f t="shared" si="4"/>
        <v>0.3</v>
      </c>
      <c r="K41" s="130"/>
      <c r="L41" s="131">
        <f t="shared" si="5"/>
        <v>0.3</v>
      </c>
      <c r="M41" s="133">
        <v>3.0</v>
      </c>
      <c r="N41" s="133">
        <v>10.0</v>
      </c>
      <c r="O41" s="78" t="str">
        <f t="shared" si="6"/>
        <v>пакетные менеджеры</v>
      </c>
    </row>
    <row r="42" ht="15.75" customHeight="1">
      <c r="A42" s="63"/>
      <c r="B42" s="5"/>
      <c r="C42" s="64"/>
      <c r="D42" s="65"/>
      <c r="E42" s="66"/>
      <c r="G42" s="67"/>
      <c r="H42" s="67"/>
      <c r="I42" s="67"/>
      <c r="J42" s="67"/>
      <c r="K42" s="67"/>
      <c r="L42" s="67"/>
    </row>
    <row r="43" ht="15.75" customHeight="1">
      <c r="A43" s="63"/>
      <c r="B43" s="5"/>
      <c r="C43" s="64"/>
      <c r="D43" s="65"/>
      <c r="E43" s="66"/>
      <c r="G43" s="67"/>
      <c r="H43" s="67"/>
      <c r="I43" s="67"/>
      <c r="J43" s="67"/>
      <c r="K43" s="67"/>
      <c r="L43" s="67"/>
    </row>
    <row r="44" ht="15.75" customHeight="1">
      <c r="A44" s="63"/>
      <c r="B44" s="5"/>
      <c r="C44" s="64"/>
      <c r="D44" s="65"/>
      <c r="E44" s="66"/>
      <c r="G44" s="67"/>
      <c r="H44" s="67"/>
      <c r="I44" s="67"/>
      <c r="J44" s="67"/>
      <c r="K44" s="67"/>
      <c r="L44" s="67"/>
    </row>
    <row r="45" ht="15.75" customHeight="1">
      <c r="A45" s="63"/>
      <c r="B45" s="5"/>
      <c r="C45" s="64"/>
      <c r="D45" s="65"/>
      <c r="E45" s="66"/>
      <c r="G45" s="67"/>
      <c r="H45" s="67"/>
      <c r="I45" s="67"/>
      <c r="J45" s="67"/>
      <c r="K45" s="67"/>
      <c r="L45" s="67"/>
    </row>
    <row r="46" ht="15.75" customHeight="1">
      <c r="A46" s="63"/>
      <c r="B46" s="5"/>
      <c r="C46" s="64"/>
      <c r="D46" s="65"/>
      <c r="E46" s="66"/>
      <c r="G46" s="67"/>
      <c r="H46" s="67"/>
      <c r="I46" s="67"/>
      <c r="J46" s="67"/>
      <c r="K46" s="67"/>
      <c r="L46" s="67"/>
    </row>
    <row r="47" ht="15.75" customHeight="1">
      <c r="A47" s="63"/>
      <c r="B47" s="5"/>
      <c r="C47" s="64"/>
      <c r="D47" s="65"/>
      <c r="E47" s="66"/>
      <c r="G47" s="67"/>
      <c r="H47" s="67"/>
      <c r="I47" s="67"/>
      <c r="J47" s="67"/>
      <c r="K47" s="67"/>
      <c r="L47" s="67"/>
    </row>
    <row r="48" ht="15.75" customHeight="1">
      <c r="A48" s="63"/>
      <c r="B48" s="5"/>
      <c r="C48" s="64"/>
      <c r="D48" s="65"/>
      <c r="E48" s="66"/>
      <c r="G48" s="67"/>
      <c r="H48" s="67"/>
      <c r="I48" s="67"/>
      <c r="J48" s="67"/>
      <c r="K48" s="67"/>
      <c r="L48" s="67"/>
    </row>
    <row r="49" ht="15.75" customHeight="1">
      <c r="A49" s="63"/>
      <c r="B49" s="5"/>
      <c r="C49" s="64"/>
      <c r="D49" s="65"/>
      <c r="E49" s="66"/>
      <c r="G49" s="67"/>
      <c r="H49" s="67"/>
      <c r="I49" s="67"/>
      <c r="J49" s="67"/>
      <c r="K49" s="67"/>
      <c r="L49" s="67"/>
    </row>
    <row r="50" ht="15.75" customHeight="1">
      <c r="A50" s="63"/>
      <c r="B50" s="5"/>
      <c r="C50" s="64"/>
      <c r="D50" s="65"/>
      <c r="E50" s="66"/>
      <c r="G50" s="67"/>
      <c r="H50" s="67"/>
      <c r="I50" s="67"/>
      <c r="J50" s="67"/>
      <c r="K50" s="67"/>
      <c r="L50" s="67"/>
    </row>
    <row r="51" ht="15.75" customHeight="1">
      <c r="A51" s="63"/>
      <c r="B51" s="5"/>
      <c r="C51" s="64"/>
      <c r="D51" s="65"/>
      <c r="E51" s="66"/>
      <c r="G51" s="67"/>
      <c r="H51" s="67"/>
      <c r="I51" s="67"/>
      <c r="J51" s="67"/>
      <c r="K51" s="67"/>
      <c r="L51" s="67"/>
    </row>
    <row r="52" ht="15.75" customHeight="1">
      <c r="A52" s="63"/>
      <c r="B52" s="5"/>
      <c r="C52" s="64"/>
      <c r="D52" s="65"/>
      <c r="E52" s="66"/>
      <c r="G52" s="67"/>
      <c r="H52" s="67"/>
      <c r="I52" s="67"/>
      <c r="J52" s="67"/>
      <c r="K52" s="67"/>
      <c r="L52" s="67"/>
    </row>
    <row r="53" ht="15.75" customHeight="1">
      <c r="A53" s="63"/>
      <c r="B53" s="5"/>
      <c r="C53" s="64"/>
      <c r="D53" s="65"/>
      <c r="E53" s="66"/>
      <c r="G53" s="67"/>
      <c r="H53" s="67"/>
      <c r="I53" s="67"/>
      <c r="J53" s="67"/>
      <c r="K53" s="67"/>
      <c r="L53" s="67"/>
    </row>
    <row r="54" ht="15.75" customHeight="1">
      <c r="A54" s="63"/>
      <c r="B54" s="5"/>
      <c r="C54" s="64"/>
      <c r="D54" s="65"/>
      <c r="E54" s="66"/>
      <c r="G54" s="67"/>
      <c r="H54" s="67"/>
      <c r="I54" s="67"/>
      <c r="J54" s="67"/>
      <c r="K54" s="67"/>
      <c r="L54" s="67"/>
    </row>
    <row r="55" ht="15.75" customHeight="1">
      <c r="A55" s="63"/>
      <c r="B55" s="5"/>
      <c r="C55" s="64"/>
      <c r="D55" s="65"/>
      <c r="E55" s="66"/>
      <c r="G55" s="67"/>
      <c r="H55" s="67"/>
      <c r="I55" s="67"/>
      <c r="J55" s="67"/>
      <c r="K55" s="67"/>
      <c r="L55" s="67"/>
    </row>
    <row r="56" ht="15.75" customHeight="1">
      <c r="A56" s="63"/>
      <c r="B56" s="5"/>
      <c r="C56" s="64"/>
      <c r="D56" s="65"/>
      <c r="E56" s="66"/>
      <c r="G56" s="67"/>
      <c r="H56" s="67"/>
      <c r="I56" s="67"/>
      <c r="J56" s="67"/>
      <c r="K56" s="67"/>
      <c r="L56" s="67"/>
    </row>
    <row r="57" ht="15.75" customHeight="1">
      <c r="A57" s="63"/>
      <c r="B57" s="5"/>
      <c r="C57" s="64"/>
      <c r="D57" s="65"/>
      <c r="E57" s="66"/>
      <c r="G57" s="67"/>
      <c r="H57" s="67"/>
      <c r="I57" s="67"/>
      <c r="J57" s="67"/>
      <c r="K57" s="67"/>
      <c r="L57" s="67"/>
    </row>
    <row r="58" ht="15.75" customHeight="1">
      <c r="A58" s="63"/>
      <c r="B58" s="5"/>
      <c r="C58" s="64"/>
      <c r="D58" s="65"/>
      <c r="E58" s="66"/>
      <c r="G58" s="67"/>
      <c r="H58" s="67"/>
      <c r="I58" s="67"/>
      <c r="J58" s="67"/>
      <c r="K58" s="67"/>
      <c r="L58" s="67"/>
    </row>
    <row r="59" ht="15.75" customHeight="1">
      <c r="A59" s="63"/>
      <c r="B59" s="5"/>
      <c r="C59" s="64"/>
      <c r="D59" s="65"/>
      <c r="E59" s="66"/>
      <c r="G59" s="67"/>
      <c r="H59" s="67"/>
      <c r="I59" s="67"/>
      <c r="J59" s="67"/>
      <c r="K59" s="67"/>
      <c r="L59" s="67"/>
    </row>
    <row r="60" ht="15.75" customHeight="1">
      <c r="A60" s="63"/>
      <c r="B60" s="5"/>
      <c r="C60" s="64"/>
      <c r="D60" s="65"/>
      <c r="E60" s="66"/>
      <c r="G60" s="67"/>
      <c r="H60" s="67"/>
      <c r="I60" s="67"/>
      <c r="J60" s="67"/>
      <c r="K60" s="67"/>
      <c r="L60" s="67"/>
    </row>
    <row r="61" ht="15.75" customHeight="1">
      <c r="A61" s="63"/>
      <c r="B61" s="5"/>
      <c r="C61" s="64"/>
      <c r="D61" s="65"/>
      <c r="E61" s="66"/>
      <c r="G61" s="67"/>
      <c r="H61" s="67"/>
      <c r="I61" s="67"/>
      <c r="J61" s="67"/>
      <c r="K61" s="67"/>
      <c r="L61" s="67"/>
    </row>
    <row r="62" ht="15.75" customHeight="1">
      <c r="A62" s="63"/>
      <c r="B62" s="5"/>
      <c r="C62" s="64"/>
      <c r="D62" s="65"/>
      <c r="E62" s="66"/>
      <c r="G62" s="67"/>
      <c r="H62" s="67"/>
      <c r="I62" s="67"/>
      <c r="J62" s="67"/>
      <c r="K62" s="67"/>
      <c r="L62" s="67"/>
    </row>
    <row r="63" ht="15.75" customHeight="1">
      <c r="A63" s="63"/>
      <c r="B63" s="5"/>
      <c r="C63" s="64"/>
      <c r="D63" s="65"/>
      <c r="E63" s="66"/>
      <c r="G63" s="67"/>
      <c r="H63" s="67"/>
      <c r="I63" s="67"/>
      <c r="J63" s="67"/>
      <c r="K63" s="67"/>
      <c r="L63" s="67"/>
    </row>
    <row r="64" ht="15.75" customHeight="1">
      <c r="A64" s="63"/>
      <c r="B64" s="5"/>
      <c r="C64" s="64"/>
      <c r="D64" s="65"/>
      <c r="E64" s="66"/>
      <c r="G64" s="67"/>
      <c r="H64" s="67"/>
      <c r="I64" s="67"/>
      <c r="J64" s="67"/>
      <c r="K64" s="67"/>
      <c r="L64" s="67"/>
    </row>
    <row r="65" ht="15.75" customHeight="1">
      <c r="A65" s="63"/>
      <c r="B65" s="5"/>
      <c r="C65" s="64"/>
      <c r="D65" s="65"/>
      <c r="E65" s="66"/>
      <c r="G65" s="67"/>
      <c r="H65" s="67"/>
      <c r="I65" s="67"/>
      <c r="J65" s="67"/>
      <c r="K65" s="67"/>
      <c r="L65" s="67"/>
    </row>
    <row r="66" ht="15.75" customHeight="1">
      <c r="A66" s="63"/>
      <c r="B66" s="5"/>
      <c r="C66" s="64"/>
      <c r="D66" s="65"/>
      <c r="E66" s="66"/>
      <c r="G66" s="67"/>
      <c r="H66" s="67"/>
      <c r="I66" s="67"/>
      <c r="J66" s="67"/>
      <c r="K66" s="67"/>
      <c r="L66" s="67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B1"/>
    <mergeCell ref="C1:D1"/>
    <mergeCell ref="E1:F1"/>
    <mergeCell ref="G1:H1"/>
    <mergeCell ref="I1:J1"/>
    <mergeCell ref="K1:L1"/>
    <mergeCell ref="B2:B4"/>
    <mergeCell ref="A25:A29"/>
    <mergeCell ref="B25:B29"/>
    <mergeCell ref="A31:A33"/>
    <mergeCell ref="B31:B33"/>
    <mergeCell ref="A35:A39"/>
    <mergeCell ref="B35:B39"/>
    <mergeCell ref="A2:A4"/>
    <mergeCell ref="A7:A11"/>
    <mergeCell ref="B7:B11"/>
    <mergeCell ref="A12:A14"/>
    <mergeCell ref="B12:B14"/>
    <mergeCell ref="A15:A20"/>
    <mergeCell ref="B15:B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4" width="14.38"/>
    <col customWidth="1" hidden="1" min="5" max="12" width="14.38"/>
    <col customWidth="1" min="13" max="14" width="14.38"/>
    <col customWidth="1" min="15" max="15" width="28.25"/>
    <col customWidth="1" min="16" max="16" width="121.75"/>
    <col customWidth="1" min="17" max="26" width="14.38"/>
  </cols>
  <sheetData>
    <row r="1" ht="15.7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3" t="s">
        <v>3</v>
      </c>
      <c r="H1" s="2"/>
      <c r="I1" s="3" t="s">
        <v>4</v>
      </c>
      <c r="J1" s="2"/>
      <c r="K1" s="3" t="s">
        <v>5</v>
      </c>
      <c r="L1" s="2"/>
      <c r="M1" s="4" t="s">
        <v>33</v>
      </c>
      <c r="N1" s="4" t="s">
        <v>7</v>
      </c>
      <c r="O1" s="5" t="s">
        <v>8</v>
      </c>
      <c r="P1" s="5" t="s">
        <v>9</v>
      </c>
    </row>
    <row r="2" ht="15.75" customHeight="1">
      <c r="A2" s="134" t="s">
        <v>81</v>
      </c>
      <c r="B2" s="135">
        <f>D2</f>
        <v>0.2</v>
      </c>
      <c r="C2" s="136" t="s">
        <v>82</v>
      </c>
      <c r="D2" s="135">
        <f t="shared" ref="D2:D6" si="1">F2</f>
        <v>0.2</v>
      </c>
      <c r="E2" s="136"/>
      <c r="F2" s="135">
        <f t="shared" ref="F2:F6" si="2">M2/N2</f>
        <v>0.2</v>
      </c>
      <c r="G2" s="82"/>
      <c r="H2" s="83">
        <f t="shared" ref="H2:H6" si="3">M2/N2</f>
        <v>0.2</v>
      </c>
      <c r="I2" s="82"/>
      <c r="J2" s="83">
        <f t="shared" ref="J2:J6" si="4">M2/N2</f>
        <v>0.2</v>
      </c>
      <c r="K2" s="82"/>
      <c r="L2" s="83">
        <f t="shared" ref="L2:L6" si="5">M2/N2</f>
        <v>0.2</v>
      </c>
      <c r="M2" s="137">
        <v>2.0</v>
      </c>
      <c r="N2" s="137">
        <v>10.0</v>
      </c>
      <c r="O2" s="138" t="str">
        <f t="shared" ref="O2:O6" si="6">IFS(NOT(ISBLANK(K2)),K2,NOT(ISBLANK(I2)),I2,NOT(ISBLANK(G2)),G2,NOT(ISBLANK(E2)),E2,NOT(ISBLANK(C2)),C2,NOT(ISBLANK(A2)),A2)</f>
        <v>TDD</v>
      </c>
    </row>
    <row r="3" ht="15.75" customHeight="1">
      <c r="A3" s="6" t="s">
        <v>83</v>
      </c>
      <c r="B3" s="50">
        <f>AVERAGE(D3:D5)</f>
        <v>0.1333333333</v>
      </c>
      <c r="C3" s="53" t="s">
        <v>84</v>
      </c>
      <c r="D3" s="52">
        <f t="shared" si="1"/>
        <v>0.2</v>
      </c>
      <c r="E3" s="53"/>
      <c r="F3" s="52">
        <f t="shared" si="2"/>
        <v>0.2</v>
      </c>
      <c r="G3" s="88"/>
      <c r="H3" s="89">
        <f t="shared" si="3"/>
        <v>0.2</v>
      </c>
      <c r="I3" s="90"/>
      <c r="J3" s="89">
        <f t="shared" si="4"/>
        <v>0.2</v>
      </c>
      <c r="K3" s="88"/>
      <c r="L3" s="89">
        <f t="shared" si="5"/>
        <v>0.2</v>
      </c>
      <c r="M3" s="54">
        <v>2.0</v>
      </c>
      <c r="N3" s="54">
        <v>10.0</v>
      </c>
      <c r="O3" s="138" t="str">
        <f t="shared" si="6"/>
        <v>unit</v>
      </c>
    </row>
    <row r="4" ht="15.75" customHeight="1">
      <c r="A4" s="16"/>
      <c r="B4" s="17"/>
      <c r="C4" s="26" t="s">
        <v>85</v>
      </c>
      <c r="D4" s="21">
        <f t="shared" si="1"/>
        <v>0.1</v>
      </c>
      <c r="E4" s="26"/>
      <c r="F4" s="21">
        <f t="shared" si="2"/>
        <v>0.1</v>
      </c>
      <c r="G4" s="75"/>
      <c r="H4" s="76">
        <f t="shared" si="3"/>
        <v>0.1</v>
      </c>
      <c r="I4" s="77"/>
      <c r="J4" s="76">
        <f t="shared" si="4"/>
        <v>0.1</v>
      </c>
      <c r="K4" s="75"/>
      <c r="L4" s="76">
        <f t="shared" si="5"/>
        <v>0.1</v>
      </c>
      <c r="M4" s="25">
        <v>1.0</v>
      </c>
      <c r="N4" s="25">
        <v>10.0</v>
      </c>
      <c r="O4" s="138" t="str">
        <f t="shared" si="6"/>
        <v>golden</v>
      </c>
    </row>
    <row r="5" ht="15.75" customHeight="1">
      <c r="A5" s="27"/>
      <c r="B5" s="28"/>
      <c r="C5" s="31" t="s">
        <v>86</v>
      </c>
      <c r="D5" s="30">
        <f t="shared" si="1"/>
        <v>0.1</v>
      </c>
      <c r="E5" s="31"/>
      <c r="F5" s="30">
        <f t="shared" si="2"/>
        <v>0.1</v>
      </c>
      <c r="G5" s="79"/>
      <c r="H5" s="80">
        <f t="shared" si="3"/>
        <v>0.1</v>
      </c>
      <c r="I5" s="81"/>
      <c r="J5" s="80">
        <f t="shared" si="4"/>
        <v>0.1</v>
      </c>
      <c r="K5" s="79"/>
      <c r="L5" s="80">
        <f t="shared" si="5"/>
        <v>0.1</v>
      </c>
      <c r="M5" s="35">
        <v>1.0</v>
      </c>
      <c r="N5" s="35">
        <v>10.0</v>
      </c>
      <c r="O5" s="138" t="str">
        <f t="shared" si="6"/>
        <v>e2e</v>
      </c>
    </row>
    <row r="6" ht="15.75" customHeight="1">
      <c r="A6" s="139" t="s">
        <v>87</v>
      </c>
      <c r="B6" s="140">
        <f>D6</f>
        <v>0.1</v>
      </c>
      <c r="C6" s="141" t="s">
        <v>88</v>
      </c>
      <c r="D6" s="140">
        <f t="shared" si="1"/>
        <v>0.1</v>
      </c>
      <c r="E6" s="141"/>
      <c r="F6" s="140">
        <f t="shared" si="2"/>
        <v>0.1</v>
      </c>
      <c r="G6" s="142"/>
      <c r="H6" s="143">
        <f t="shared" si="3"/>
        <v>0.1</v>
      </c>
      <c r="I6" s="144"/>
      <c r="J6" s="143">
        <f t="shared" si="4"/>
        <v>0.1</v>
      </c>
      <c r="K6" s="142"/>
      <c r="L6" s="143">
        <f t="shared" si="5"/>
        <v>0.1</v>
      </c>
      <c r="M6" s="145">
        <v>1.0</v>
      </c>
      <c r="N6" s="145">
        <v>10.0</v>
      </c>
      <c r="O6" s="138" t="str">
        <f t="shared" si="6"/>
        <v>widget test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C1:D1"/>
    <mergeCell ref="E1:F1"/>
    <mergeCell ref="G1:H1"/>
    <mergeCell ref="I1:J1"/>
    <mergeCell ref="K1:L1"/>
    <mergeCell ref="A3:A5"/>
    <mergeCell ref="B3:B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38"/>
    <col customWidth="1" hidden="1" min="3" max="12" width="14.38"/>
    <col customWidth="1" min="13" max="14" width="14.38"/>
    <col customWidth="1" min="15" max="15" width="29.13"/>
    <col customWidth="1" min="16" max="16" width="155.38"/>
    <col customWidth="1" min="17" max="26" width="14.38"/>
  </cols>
  <sheetData>
    <row r="1" ht="15.7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3" t="s">
        <v>3</v>
      </c>
      <c r="H1" s="2"/>
      <c r="I1" s="3" t="s">
        <v>4</v>
      </c>
      <c r="J1" s="2"/>
      <c r="K1" s="3" t="s">
        <v>5</v>
      </c>
      <c r="L1" s="2"/>
      <c r="M1" s="4" t="s">
        <v>33</v>
      </c>
      <c r="N1" s="4" t="s">
        <v>7</v>
      </c>
      <c r="O1" s="5" t="s">
        <v>8</v>
      </c>
      <c r="P1" s="5" t="s">
        <v>9</v>
      </c>
    </row>
    <row r="2" ht="15.75" customHeight="1">
      <c r="A2" s="146" t="s">
        <v>89</v>
      </c>
      <c r="B2" s="9">
        <f t="shared" ref="B2:B3" si="1">D2</f>
        <v>0.5</v>
      </c>
      <c r="C2" s="147"/>
      <c r="D2" s="9">
        <f t="shared" ref="D2:D3" si="2">F2</f>
        <v>0.5</v>
      </c>
      <c r="E2" s="147"/>
      <c r="F2" s="9">
        <f t="shared" ref="F2:F3" si="3">M2/N2</f>
        <v>0.5</v>
      </c>
      <c r="G2" s="88"/>
      <c r="H2" s="89">
        <f t="shared" ref="H2:H3" si="4">M2/N2</f>
        <v>0.5</v>
      </c>
      <c r="I2" s="88"/>
      <c r="J2" s="89">
        <f t="shared" ref="J2:J3" si="5">M2/N2</f>
        <v>0.5</v>
      </c>
      <c r="K2" s="88"/>
      <c r="L2" s="89">
        <f t="shared" ref="L2:L3" si="6">M2/N2</f>
        <v>0.5</v>
      </c>
      <c r="M2" s="13">
        <v>5.0</v>
      </c>
      <c r="N2" s="13">
        <v>10.0</v>
      </c>
      <c r="O2" s="138" t="str">
        <f t="shared" ref="O2:O3" si="7">IFS(NOT(ISBLANK(K2)),K2,NOT(ISBLANK(I2)),I2,NOT(ISBLANK(G2)),G2,NOT(ISBLANK(E2)),E2,NOT(ISBLANK(C2)),C2,NOT(ISBLANK(A2)),A2)</f>
        <v>Code Review</v>
      </c>
    </row>
    <row r="3" ht="15.75" customHeight="1">
      <c r="A3" s="148" t="s">
        <v>90</v>
      </c>
      <c r="B3" s="58">
        <f t="shared" si="1"/>
        <v>0.5</v>
      </c>
      <c r="C3" s="57"/>
      <c r="D3" s="58">
        <f t="shared" si="2"/>
        <v>0.5</v>
      </c>
      <c r="E3" s="57"/>
      <c r="F3" s="58">
        <f t="shared" si="3"/>
        <v>0.5</v>
      </c>
      <c r="G3" s="149"/>
      <c r="H3" s="150">
        <f t="shared" si="4"/>
        <v>0.5</v>
      </c>
      <c r="I3" s="151"/>
      <c r="J3" s="150">
        <f t="shared" si="5"/>
        <v>0.5</v>
      </c>
      <c r="K3" s="149"/>
      <c r="L3" s="150">
        <f t="shared" si="6"/>
        <v>0.5</v>
      </c>
      <c r="M3" s="62">
        <v>5.0</v>
      </c>
      <c r="N3" s="62">
        <v>10.0</v>
      </c>
      <c r="O3" s="138" t="str">
        <f t="shared" si="7"/>
        <v>Менторство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C1:D1"/>
    <mergeCell ref="E1:F1"/>
    <mergeCell ref="G1:H1"/>
    <mergeCell ref="I1:J1"/>
    <mergeCell ref="K1:L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4.38"/>
    <col customWidth="1" min="3" max="3" width="22.38"/>
    <col customWidth="1" min="4" max="8" width="14.38"/>
    <col customWidth="1" hidden="1" min="9" max="12" width="14.38"/>
    <col customWidth="1" min="13" max="14" width="14.38"/>
    <col customWidth="1" min="15" max="15" width="29.75"/>
    <col customWidth="1" min="16" max="16" width="58.75"/>
    <col customWidth="1" min="17" max="26" width="14.38"/>
  </cols>
  <sheetData>
    <row r="1" ht="15.7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3" t="s">
        <v>3</v>
      </c>
      <c r="H1" s="2"/>
      <c r="I1" s="3" t="s">
        <v>4</v>
      </c>
      <c r="J1" s="2"/>
      <c r="K1" s="3" t="s">
        <v>5</v>
      </c>
      <c r="L1" s="2"/>
      <c r="M1" s="4" t="s">
        <v>33</v>
      </c>
      <c r="N1" s="4" t="s">
        <v>7</v>
      </c>
      <c r="O1" s="5" t="s">
        <v>8</v>
      </c>
      <c r="P1" s="5" t="s">
        <v>9</v>
      </c>
    </row>
    <row r="2" ht="15.75" customHeight="1">
      <c r="A2" s="152" t="s">
        <v>91</v>
      </c>
      <c r="B2" s="7">
        <f>AVERAGE(D2:D5)</f>
        <v>0.8</v>
      </c>
      <c r="C2" s="153" t="s">
        <v>92</v>
      </c>
      <c r="D2" s="7">
        <f>AVERAGE(F2:F4)</f>
        <v>0.8</v>
      </c>
      <c r="E2" s="147" t="s">
        <v>93</v>
      </c>
      <c r="F2" s="9">
        <f>M2/N2</f>
        <v>0.8</v>
      </c>
      <c r="G2" s="154"/>
      <c r="H2" s="89">
        <f t="shared" ref="H2:H26" si="1">M2/N2</f>
        <v>0.8</v>
      </c>
      <c r="I2" s="88"/>
      <c r="J2" s="89">
        <f t="shared" ref="J2:J26" si="2">M2/N2</f>
        <v>0.8</v>
      </c>
      <c r="K2" s="88"/>
      <c r="L2" s="89">
        <f t="shared" ref="L2:L26" si="3">M2/N2</f>
        <v>0.8</v>
      </c>
      <c r="M2" s="13">
        <v>8.0</v>
      </c>
      <c r="N2" s="13">
        <v>10.0</v>
      </c>
      <c r="O2" s="138" t="str">
        <f t="shared" ref="O2:O26" si="4">IFS(NOT(ISBLANK(K2)),K2,NOT(ISBLANK(I2)),I2,NOT(ISBLANK(G2)),G2,NOT(ISBLANK(E2)),E2,NOT(ISBLANK(C2)),C2,NOT(ISBLANK(A2)),A2)</f>
        <v>до  NullSafety</v>
      </c>
    </row>
    <row r="3" ht="15.75" customHeight="1">
      <c r="A3" s="16"/>
      <c r="B3" s="17"/>
      <c r="D3" s="17"/>
      <c r="E3" s="155" t="s">
        <v>94</v>
      </c>
      <c r="F3" s="74">
        <f>AVERAGE(H3:H4)</f>
        <v>0.8</v>
      </c>
      <c r="G3" s="156" t="s">
        <v>95</v>
      </c>
      <c r="H3" s="76">
        <f t="shared" si="1"/>
        <v>0.8</v>
      </c>
      <c r="I3" s="77"/>
      <c r="J3" s="76">
        <f t="shared" si="2"/>
        <v>0.8</v>
      </c>
      <c r="K3" s="75"/>
      <c r="L3" s="76">
        <f t="shared" si="3"/>
        <v>0.8</v>
      </c>
      <c r="M3" s="25">
        <v>8.0</v>
      </c>
      <c r="N3" s="25">
        <v>10.0</v>
      </c>
      <c r="O3" s="138" t="str">
        <f t="shared" si="4"/>
        <v>Sound</v>
      </c>
    </row>
    <row r="4" ht="15.75" customHeight="1">
      <c r="A4" s="16"/>
      <c r="B4" s="17"/>
      <c r="C4" s="157"/>
      <c r="D4" s="19"/>
      <c r="E4" s="157"/>
      <c r="F4" s="19"/>
      <c r="G4" s="156" t="s">
        <v>96</v>
      </c>
      <c r="H4" s="76">
        <f t="shared" si="1"/>
        <v>0.8</v>
      </c>
      <c r="I4" s="77"/>
      <c r="J4" s="76">
        <f t="shared" si="2"/>
        <v>0.8</v>
      </c>
      <c r="K4" s="75"/>
      <c r="L4" s="76">
        <f t="shared" si="3"/>
        <v>0.8</v>
      </c>
      <c r="M4" s="25">
        <v>8.0</v>
      </c>
      <c r="N4" s="25">
        <v>10.0</v>
      </c>
      <c r="O4" s="138" t="str">
        <f t="shared" si="4"/>
        <v>Unsound</v>
      </c>
    </row>
    <row r="5" ht="15.75" customHeight="1">
      <c r="A5" s="27"/>
      <c r="B5" s="28"/>
      <c r="C5" s="31" t="s">
        <v>97</v>
      </c>
      <c r="D5" s="30">
        <f t="shared" ref="D5:D26" si="5">F5</f>
        <v>0.8</v>
      </c>
      <c r="E5" s="31"/>
      <c r="F5" s="30">
        <f t="shared" ref="F5:F26" si="6">M5/N5</f>
        <v>0.8</v>
      </c>
      <c r="G5" s="79"/>
      <c r="H5" s="80">
        <f t="shared" si="1"/>
        <v>0.8</v>
      </c>
      <c r="I5" s="81"/>
      <c r="J5" s="80">
        <f t="shared" si="2"/>
        <v>0.8</v>
      </c>
      <c r="K5" s="79"/>
      <c r="L5" s="80">
        <f t="shared" si="3"/>
        <v>0.8</v>
      </c>
      <c r="M5" s="35">
        <v>8.0</v>
      </c>
      <c r="N5" s="35">
        <v>10.0</v>
      </c>
      <c r="O5" s="138" t="str">
        <f t="shared" si="4"/>
        <v>dynamic</v>
      </c>
    </row>
    <row r="6" ht="15.75" customHeight="1">
      <c r="A6" s="6" t="s">
        <v>98</v>
      </c>
      <c r="B6" s="50">
        <f>AVERAGE(D6:D10)</f>
        <v>0.62</v>
      </c>
      <c r="C6" s="158" t="s">
        <v>99</v>
      </c>
      <c r="D6" s="52">
        <f t="shared" si="5"/>
        <v>0.8</v>
      </c>
      <c r="E6" s="53"/>
      <c r="F6" s="52">
        <f t="shared" si="6"/>
        <v>0.8</v>
      </c>
      <c r="G6" s="88"/>
      <c r="H6" s="89">
        <f t="shared" si="1"/>
        <v>0.8</v>
      </c>
      <c r="I6" s="90"/>
      <c r="J6" s="89">
        <f t="shared" si="2"/>
        <v>0.8</v>
      </c>
      <c r="K6" s="88"/>
      <c r="L6" s="89">
        <f t="shared" si="3"/>
        <v>0.8</v>
      </c>
      <c r="M6" s="54">
        <v>8.0</v>
      </c>
      <c r="N6" s="54">
        <v>10.0</v>
      </c>
      <c r="O6" s="138" t="str">
        <f t="shared" si="4"/>
        <v>Future</v>
      </c>
    </row>
    <row r="7" ht="15.75" customHeight="1">
      <c r="A7" s="16"/>
      <c r="B7" s="17"/>
      <c r="C7" s="159" t="s">
        <v>100</v>
      </c>
      <c r="D7" s="21">
        <f t="shared" si="5"/>
        <v>0.8</v>
      </c>
      <c r="E7" s="26"/>
      <c r="F7" s="21">
        <f t="shared" si="6"/>
        <v>0.8</v>
      </c>
      <c r="G7" s="75"/>
      <c r="H7" s="76">
        <f t="shared" si="1"/>
        <v>0.8</v>
      </c>
      <c r="I7" s="77"/>
      <c r="J7" s="76">
        <f t="shared" si="2"/>
        <v>0.8</v>
      </c>
      <c r="K7" s="75"/>
      <c r="L7" s="76">
        <f t="shared" si="3"/>
        <v>0.8</v>
      </c>
      <c r="M7" s="25">
        <v>8.0</v>
      </c>
      <c r="N7" s="25">
        <v>10.0</v>
      </c>
      <c r="O7" s="138" t="str">
        <f t="shared" si="4"/>
        <v>asnync/await</v>
      </c>
    </row>
    <row r="8" ht="15.75" customHeight="1">
      <c r="A8" s="16"/>
      <c r="B8" s="17"/>
      <c r="C8" s="159" t="s">
        <v>101</v>
      </c>
      <c r="D8" s="21">
        <f t="shared" si="5"/>
        <v>0.3</v>
      </c>
      <c r="E8" s="26"/>
      <c r="F8" s="21">
        <f t="shared" si="6"/>
        <v>0.3</v>
      </c>
      <c r="G8" s="75"/>
      <c r="H8" s="76">
        <f t="shared" si="1"/>
        <v>0.3</v>
      </c>
      <c r="I8" s="77"/>
      <c r="J8" s="76">
        <f t="shared" si="2"/>
        <v>0.3</v>
      </c>
      <c r="K8" s="75"/>
      <c r="L8" s="76">
        <f t="shared" si="3"/>
        <v>0.3</v>
      </c>
      <c r="M8" s="25">
        <v>3.0</v>
      </c>
      <c r="N8" s="25">
        <v>10.0</v>
      </c>
      <c r="O8" s="138" t="str">
        <f t="shared" si="4"/>
        <v>microtask</v>
      </c>
    </row>
    <row r="9" ht="15.75" customHeight="1">
      <c r="A9" s="16"/>
      <c r="B9" s="17"/>
      <c r="C9" s="159" t="s">
        <v>102</v>
      </c>
      <c r="D9" s="21">
        <f t="shared" si="5"/>
        <v>0.5</v>
      </c>
      <c r="E9" s="26"/>
      <c r="F9" s="21">
        <f t="shared" si="6"/>
        <v>0.5</v>
      </c>
      <c r="G9" s="75"/>
      <c r="H9" s="76">
        <f t="shared" si="1"/>
        <v>0.5</v>
      </c>
      <c r="I9" s="77"/>
      <c r="J9" s="76">
        <f t="shared" si="2"/>
        <v>0.5</v>
      </c>
      <c r="K9" s="75"/>
      <c r="L9" s="76">
        <f t="shared" si="3"/>
        <v>0.5</v>
      </c>
      <c r="M9" s="25">
        <v>5.0</v>
      </c>
      <c r="N9" s="25">
        <v>10.0</v>
      </c>
      <c r="O9" s="138" t="str">
        <f t="shared" si="4"/>
        <v>eventloop</v>
      </c>
    </row>
    <row r="10" ht="15.75" customHeight="1">
      <c r="A10" s="27"/>
      <c r="B10" s="28"/>
      <c r="C10" s="31" t="s">
        <v>103</v>
      </c>
      <c r="D10" s="30">
        <f t="shared" si="5"/>
        <v>0.7</v>
      </c>
      <c r="E10" s="31"/>
      <c r="F10" s="30">
        <f t="shared" si="6"/>
        <v>0.7</v>
      </c>
      <c r="G10" s="79"/>
      <c r="H10" s="80">
        <f t="shared" si="1"/>
        <v>0.7</v>
      </c>
      <c r="I10" s="81"/>
      <c r="J10" s="80">
        <f t="shared" si="2"/>
        <v>0.7</v>
      </c>
      <c r="K10" s="79"/>
      <c r="L10" s="80">
        <f t="shared" si="3"/>
        <v>0.7</v>
      </c>
      <c r="M10" s="35">
        <v>7.0</v>
      </c>
      <c r="N10" s="35">
        <v>10.0</v>
      </c>
      <c r="O10" s="138" t="str">
        <f t="shared" si="4"/>
        <v>Stream</v>
      </c>
    </row>
    <row r="11" ht="15.75" customHeight="1">
      <c r="A11" s="36" t="s">
        <v>104</v>
      </c>
      <c r="B11" s="37">
        <f>D11</f>
        <v>0.3</v>
      </c>
      <c r="C11" s="160" t="s">
        <v>105</v>
      </c>
      <c r="D11" s="37">
        <f t="shared" si="5"/>
        <v>0.3</v>
      </c>
      <c r="E11" s="38"/>
      <c r="F11" s="37">
        <f t="shared" si="6"/>
        <v>0.3</v>
      </c>
      <c r="G11" s="82"/>
      <c r="H11" s="83">
        <f t="shared" si="1"/>
        <v>0.3</v>
      </c>
      <c r="I11" s="84"/>
      <c r="J11" s="83">
        <f t="shared" si="2"/>
        <v>0.3</v>
      </c>
      <c r="K11" s="82"/>
      <c r="L11" s="83">
        <f t="shared" si="3"/>
        <v>0.3</v>
      </c>
      <c r="M11" s="42">
        <v>3.0</v>
      </c>
      <c r="N11" s="42">
        <v>10.0</v>
      </c>
      <c r="O11" s="138" t="str">
        <f t="shared" si="4"/>
        <v>Isolate</v>
      </c>
    </row>
    <row r="12" ht="15.75" customHeight="1">
      <c r="A12" s="6" t="s">
        <v>106</v>
      </c>
      <c r="B12" s="50">
        <f>AVERAGE(D12:D19)</f>
        <v>0.6625</v>
      </c>
      <c r="C12" s="158" t="s">
        <v>107</v>
      </c>
      <c r="D12" s="52">
        <f t="shared" si="5"/>
        <v>1</v>
      </c>
      <c r="E12" s="53"/>
      <c r="F12" s="52">
        <f t="shared" si="6"/>
        <v>1</v>
      </c>
      <c r="G12" s="88"/>
      <c r="H12" s="89">
        <f t="shared" si="1"/>
        <v>1</v>
      </c>
      <c r="I12" s="90"/>
      <c r="J12" s="89">
        <f t="shared" si="2"/>
        <v>1</v>
      </c>
      <c r="K12" s="88"/>
      <c r="L12" s="89">
        <f t="shared" si="3"/>
        <v>1</v>
      </c>
      <c r="M12" s="54">
        <v>10.0</v>
      </c>
      <c r="N12" s="54">
        <v>10.0</v>
      </c>
      <c r="O12" s="138" t="str">
        <f t="shared" si="4"/>
        <v>Object</v>
      </c>
    </row>
    <row r="13" ht="15.75" customHeight="1">
      <c r="A13" s="16"/>
      <c r="B13" s="17"/>
      <c r="C13" s="159" t="s">
        <v>108</v>
      </c>
      <c r="D13" s="21">
        <f t="shared" si="5"/>
        <v>0.5</v>
      </c>
      <c r="E13" s="26"/>
      <c r="F13" s="21">
        <f t="shared" si="6"/>
        <v>0.5</v>
      </c>
      <c r="G13" s="75"/>
      <c r="H13" s="76">
        <f t="shared" si="1"/>
        <v>0.5</v>
      </c>
      <c r="I13" s="77"/>
      <c r="J13" s="76">
        <f t="shared" si="2"/>
        <v>0.5</v>
      </c>
      <c r="K13" s="75"/>
      <c r="L13" s="76">
        <f t="shared" si="3"/>
        <v>0.5</v>
      </c>
      <c r="M13" s="25">
        <v>5.0</v>
      </c>
      <c r="N13" s="25">
        <v>10.0</v>
      </c>
      <c r="O13" s="138" t="str">
        <f t="shared" si="4"/>
        <v>infer types</v>
      </c>
    </row>
    <row r="14" ht="15.75" customHeight="1">
      <c r="A14" s="16"/>
      <c r="B14" s="17"/>
      <c r="C14" s="159" t="s">
        <v>109</v>
      </c>
      <c r="D14" s="21">
        <f t="shared" si="5"/>
        <v>0.8</v>
      </c>
      <c r="E14" s="26"/>
      <c r="F14" s="21">
        <f t="shared" si="6"/>
        <v>0.8</v>
      </c>
      <c r="G14" s="75"/>
      <c r="H14" s="76">
        <f t="shared" si="1"/>
        <v>0.8</v>
      </c>
      <c r="I14" s="77"/>
      <c r="J14" s="76">
        <f t="shared" si="2"/>
        <v>0.8</v>
      </c>
      <c r="K14" s="75"/>
      <c r="L14" s="76">
        <f t="shared" si="3"/>
        <v>0.8</v>
      </c>
      <c r="M14" s="25">
        <v>8.0</v>
      </c>
      <c r="N14" s="25">
        <v>10.0</v>
      </c>
      <c r="O14" s="138" t="str">
        <f t="shared" si="4"/>
        <v>NullSafety</v>
      </c>
    </row>
    <row r="15" ht="15.75" customHeight="1">
      <c r="A15" s="16"/>
      <c r="B15" s="17"/>
      <c r="C15" s="26" t="s">
        <v>97</v>
      </c>
      <c r="D15" s="21">
        <f t="shared" si="5"/>
        <v>0.7</v>
      </c>
      <c r="E15" s="26"/>
      <c r="F15" s="21">
        <f t="shared" si="6"/>
        <v>0.7</v>
      </c>
      <c r="G15" s="75"/>
      <c r="H15" s="76">
        <f t="shared" si="1"/>
        <v>0.7</v>
      </c>
      <c r="I15" s="77"/>
      <c r="J15" s="76">
        <f t="shared" si="2"/>
        <v>0.7</v>
      </c>
      <c r="K15" s="75"/>
      <c r="L15" s="76">
        <f t="shared" si="3"/>
        <v>0.7</v>
      </c>
      <c r="M15" s="25">
        <v>7.0</v>
      </c>
      <c r="N15" s="25">
        <v>10.0</v>
      </c>
      <c r="O15" s="138" t="str">
        <f t="shared" si="4"/>
        <v>dynamic</v>
      </c>
    </row>
    <row r="16" ht="15.75" customHeight="1">
      <c r="A16" s="16"/>
      <c r="B16" s="17"/>
      <c r="C16" s="26" t="s">
        <v>110</v>
      </c>
      <c r="D16" s="21">
        <f t="shared" si="5"/>
        <v>0.5</v>
      </c>
      <c r="E16" s="26"/>
      <c r="F16" s="21">
        <f t="shared" si="6"/>
        <v>0.5</v>
      </c>
      <c r="G16" s="75"/>
      <c r="H16" s="76">
        <f t="shared" si="1"/>
        <v>0.5</v>
      </c>
      <c r="I16" s="77"/>
      <c r="J16" s="76">
        <f t="shared" si="2"/>
        <v>0.5</v>
      </c>
      <c r="K16" s="75"/>
      <c r="L16" s="76">
        <f t="shared" si="3"/>
        <v>0.5</v>
      </c>
      <c r="M16" s="25">
        <v>5.0</v>
      </c>
      <c r="N16" s="25">
        <v>10.0</v>
      </c>
      <c r="O16" s="138" t="str">
        <f t="shared" si="4"/>
        <v>Generic</v>
      </c>
    </row>
    <row r="17" ht="15.75" customHeight="1">
      <c r="A17" s="16"/>
      <c r="B17" s="17"/>
      <c r="C17" s="159" t="s">
        <v>111</v>
      </c>
      <c r="D17" s="21">
        <f t="shared" si="5"/>
        <v>0.7</v>
      </c>
      <c r="E17" s="26"/>
      <c r="F17" s="21">
        <f t="shared" si="6"/>
        <v>0.7</v>
      </c>
      <c r="G17" s="75"/>
      <c r="H17" s="76">
        <f t="shared" si="1"/>
        <v>0.7</v>
      </c>
      <c r="I17" s="77"/>
      <c r="J17" s="76">
        <f t="shared" si="2"/>
        <v>0.7</v>
      </c>
      <c r="K17" s="75"/>
      <c r="L17" s="76">
        <f t="shared" si="3"/>
        <v>0.7</v>
      </c>
      <c r="M17" s="25">
        <v>7.0</v>
      </c>
      <c r="N17" s="25">
        <v>10.0</v>
      </c>
      <c r="O17" s="138" t="str">
        <f t="shared" si="4"/>
        <v>visibility</v>
      </c>
    </row>
    <row r="18" ht="15.75" customHeight="1">
      <c r="A18" s="16"/>
      <c r="B18" s="17"/>
      <c r="C18" s="159" t="s">
        <v>112</v>
      </c>
      <c r="D18" s="21">
        <f t="shared" si="5"/>
        <v>0.6</v>
      </c>
      <c r="E18" s="26"/>
      <c r="F18" s="21">
        <f t="shared" si="6"/>
        <v>0.6</v>
      </c>
      <c r="G18" s="75"/>
      <c r="H18" s="76">
        <f t="shared" si="1"/>
        <v>0.6</v>
      </c>
      <c r="I18" s="77"/>
      <c r="J18" s="76">
        <f t="shared" si="2"/>
        <v>0.6</v>
      </c>
      <c r="K18" s="75"/>
      <c r="L18" s="76">
        <f t="shared" si="3"/>
        <v>0.6</v>
      </c>
      <c r="M18" s="25">
        <v>6.0</v>
      </c>
      <c r="N18" s="25">
        <v>10.0</v>
      </c>
      <c r="O18" s="138" t="str">
        <f t="shared" si="4"/>
        <v>error/warning(code)</v>
      </c>
    </row>
    <row r="19" ht="15.75" customHeight="1">
      <c r="A19" s="27"/>
      <c r="B19" s="28"/>
      <c r="C19" s="161" t="s">
        <v>113</v>
      </c>
      <c r="D19" s="30">
        <f t="shared" si="5"/>
        <v>0.5</v>
      </c>
      <c r="E19" s="31"/>
      <c r="F19" s="30">
        <f t="shared" si="6"/>
        <v>0.5</v>
      </c>
      <c r="G19" s="79"/>
      <c r="H19" s="80">
        <f t="shared" si="1"/>
        <v>0.5</v>
      </c>
      <c r="I19" s="81"/>
      <c r="J19" s="80">
        <f t="shared" si="2"/>
        <v>0.5</v>
      </c>
      <c r="K19" s="79"/>
      <c r="L19" s="80">
        <f t="shared" si="3"/>
        <v>0.5</v>
      </c>
      <c r="M19" s="35">
        <v>5.0</v>
      </c>
      <c r="N19" s="35">
        <v>10.0</v>
      </c>
      <c r="O19" s="138" t="str">
        <f t="shared" si="4"/>
        <v>error/exception(runtime)</v>
      </c>
    </row>
    <row r="20" ht="15.75" customHeight="1">
      <c r="A20" s="36" t="s">
        <v>114</v>
      </c>
      <c r="B20" s="37">
        <f t="shared" ref="B20:B23" si="7">D20</f>
        <v>0.1</v>
      </c>
      <c r="C20" s="38"/>
      <c r="D20" s="37">
        <f t="shared" si="5"/>
        <v>0.1</v>
      </c>
      <c r="E20" s="38"/>
      <c r="F20" s="37">
        <f t="shared" si="6"/>
        <v>0.1</v>
      </c>
      <c r="G20" s="82"/>
      <c r="H20" s="83">
        <f t="shared" si="1"/>
        <v>0.1</v>
      </c>
      <c r="I20" s="84"/>
      <c r="J20" s="83">
        <f t="shared" si="2"/>
        <v>0.1</v>
      </c>
      <c r="K20" s="82"/>
      <c r="L20" s="83">
        <f t="shared" si="3"/>
        <v>0.1</v>
      </c>
      <c r="M20" s="42">
        <v>1.0</v>
      </c>
      <c r="N20" s="42">
        <v>10.0</v>
      </c>
      <c r="O20" s="138" t="str">
        <f t="shared" si="4"/>
        <v>Callable</v>
      </c>
    </row>
    <row r="21" ht="15.75" customHeight="1">
      <c r="A21" s="162" t="s">
        <v>115</v>
      </c>
      <c r="B21" s="44">
        <f t="shared" si="7"/>
        <v>0.2</v>
      </c>
      <c r="C21" s="45"/>
      <c r="D21" s="44">
        <f t="shared" si="5"/>
        <v>0.2</v>
      </c>
      <c r="E21" s="45"/>
      <c r="F21" s="44">
        <f t="shared" si="6"/>
        <v>0.2</v>
      </c>
      <c r="G21" s="85"/>
      <c r="H21" s="86">
        <f t="shared" si="1"/>
        <v>0.2</v>
      </c>
      <c r="I21" s="87"/>
      <c r="J21" s="86">
        <f t="shared" si="2"/>
        <v>0.2</v>
      </c>
      <c r="K21" s="85"/>
      <c r="L21" s="86">
        <f t="shared" si="3"/>
        <v>0.2</v>
      </c>
      <c r="M21" s="49">
        <v>2.0</v>
      </c>
      <c r="N21" s="49">
        <v>10.0</v>
      </c>
      <c r="O21" s="138" t="str">
        <f t="shared" si="4"/>
        <v>Generators</v>
      </c>
    </row>
    <row r="22" ht="15.75" customHeight="1">
      <c r="A22" s="162" t="s">
        <v>116</v>
      </c>
      <c r="B22" s="44">
        <f t="shared" si="7"/>
        <v>0</v>
      </c>
      <c r="C22" s="45"/>
      <c r="D22" s="44">
        <f t="shared" si="5"/>
        <v>0</v>
      </c>
      <c r="E22" s="45"/>
      <c r="F22" s="44">
        <f t="shared" si="6"/>
        <v>0</v>
      </c>
      <c r="G22" s="85"/>
      <c r="H22" s="86">
        <f t="shared" si="1"/>
        <v>0</v>
      </c>
      <c r="I22" s="87"/>
      <c r="J22" s="86">
        <f t="shared" si="2"/>
        <v>0</v>
      </c>
      <c r="K22" s="85"/>
      <c r="L22" s="86">
        <f t="shared" si="3"/>
        <v>0</v>
      </c>
      <c r="M22" s="49">
        <v>0.0</v>
      </c>
      <c r="N22" s="49">
        <v>10.0</v>
      </c>
      <c r="O22" s="138" t="str">
        <f t="shared" si="4"/>
        <v>Typedefs</v>
      </c>
    </row>
    <row r="23" ht="15.75" customHeight="1">
      <c r="A23" s="163" t="s">
        <v>117</v>
      </c>
      <c r="B23" s="92">
        <f t="shared" si="7"/>
        <v>0.2</v>
      </c>
      <c r="C23" s="93"/>
      <c r="D23" s="92">
        <f t="shared" si="5"/>
        <v>0.2</v>
      </c>
      <c r="E23" s="93"/>
      <c r="F23" s="92">
        <f t="shared" si="6"/>
        <v>0.2</v>
      </c>
      <c r="G23" s="94"/>
      <c r="H23" s="95">
        <f t="shared" si="1"/>
        <v>0.2</v>
      </c>
      <c r="I23" s="96"/>
      <c r="J23" s="95">
        <f t="shared" si="2"/>
        <v>0.2</v>
      </c>
      <c r="K23" s="94"/>
      <c r="L23" s="95">
        <f t="shared" si="3"/>
        <v>0.2</v>
      </c>
      <c r="M23" s="97">
        <v>2.0</v>
      </c>
      <c r="N23" s="97">
        <v>10.0</v>
      </c>
      <c r="O23" s="138" t="str">
        <f t="shared" si="4"/>
        <v>Metadata</v>
      </c>
    </row>
    <row r="24" ht="15.75" customHeight="1">
      <c r="A24" s="164" t="s">
        <v>118</v>
      </c>
      <c r="B24" s="92">
        <f>AVERAGE(D24:D25)</f>
        <v>0.2</v>
      </c>
      <c r="C24" s="165" t="s">
        <v>119</v>
      </c>
      <c r="D24" s="99">
        <f t="shared" si="5"/>
        <v>0.2</v>
      </c>
      <c r="E24" s="98"/>
      <c r="F24" s="99">
        <f t="shared" si="6"/>
        <v>0.2</v>
      </c>
      <c r="G24" s="100"/>
      <c r="H24" s="101">
        <f t="shared" si="1"/>
        <v>0.2</v>
      </c>
      <c r="I24" s="102"/>
      <c r="J24" s="101">
        <f t="shared" si="2"/>
        <v>0.2</v>
      </c>
      <c r="K24" s="100"/>
      <c r="L24" s="101">
        <f t="shared" si="3"/>
        <v>0.2</v>
      </c>
      <c r="M24" s="103">
        <v>2.0</v>
      </c>
      <c r="N24" s="103">
        <v>10.0</v>
      </c>
      <c r="O24" s="138" t="str">
        <f t="shared" si="4"/>
        <v>Dart VM</v>
      </c>
    </row>
    <row r="25" ht="15.75" customHeight="1">
      <c r="A25" s="27"/>
      <c r="B25" s="28"/>
      <c r="C25" s="166" t="s">
        <v>120</v>
      </c>
      <c r="D25" s="30">
        <f t="shared" si="5"/>
        <v>0.2</v>
      </c>
      <c r="E25" s="31"/>
      <c r="F25" s="30">
        <f t="shared" si="6"/>
        <v>0.2</v>
      </c>
      <c r="G25" s="79"/>
      <c r="H25" s="80">
        <f t="shared" si="1"/>
        <v>0.2</v>
      </c>
      <c r="I25" s="81"/>
      <c r="J25" s="80">
        <f t="shared" si="2"/>
        <v>0.2</v>
      </c>
      <c r="K25" s="79"/>
      <c r="L25" s="80">
        <f t="shared" si="3"/>
        <v>0.2</v>
      </c>
      <c r="M25" s="35">
        <v>2.0</v>
      </c>
      <c r="N25" s="35">
        <v>10.0</v>
      </c>
      <c r="O25" s="138" t="str">
        <f t="shared" si="4"/>
        <v>компиляция</v>
      </c>
    </row>
    <row r="26" ht="15.75" customHeight="1">
      <c r="A26" s="139" t="s">
        <v>121</v>
      </c>
      <c r="B26" s="140">
        <f>D26</f>
        <v>0.1</v>
      </c>
      <c r="C26" s="141"/>
      <c r="D26" s="140">
        <f t="shared" si="5"/>
        <v>0.1</v>
      </c>
      <c r="E26" s="141"/>
      <c r="F26" s="140">
        <f t="shared" si="6"/>
        <v>0.1</v>
      </c>
      <c r="G26" s="142"/>
      <c r="H26" s="143">
        <f t="shared" si="1"/>
        <v>0.1</v>
      </c>
      <c r="I26" s="144"/>
      <c r="J26" s="143">
        <f t="shared" si="2"/>
        <v>0.1</v>
      </c>
      <c r="K26" s="142"/>
      <c r="L26" s="143">
        <f t="shared" si="3"/>
        <v>0.1</v>
      </c>
      <c r="M26" s="145">
        <v>1.0</v>
      </c>
      <c r="N26" s="145">
        <v>10.0</v>
      </c>
      <c r="O26" s="138" t="str">
        <f t="shared" si="4"/>
        <v>ffi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B5"/>
    <mergeCell ref="C2:C4"/>
    <mergeCell ref="A6:A10"/>
    <mergeCell ref="B6:B10"/>
    <mergeCell ref="A12:A19"/>
    <mergeCell ref="B12:B19"/>
    <mergeCell ref="A24:A25"/>
    <mergeCell ref="B24:B25"/>
    <mergeCell ref="D2:D4"/>
    <mergeCell ref="E3:E4"/>
    <mergeCell ref="A1:B1"/>
    <mergeCell ref="C1:D1"/>
    <mergeCell ref="E1:F1"/>
    <mergeCell ref="G1:H1"/>
    <mergeCell ref="I1:J1"/>
    <mergeCell ref="K1:L1"/>
    <mergeCell ref="A2:A5"/>
    <mergeCell ref="F3: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4.38"/>
    <col customWidth="1" min="3" max="3" width="35.88"/>
    <col customWidth="1" min="4" max="4" width="14.38"/>
    <col customWidth="1" min="5" max="5" width="19.88"/>
    <col customWidth="1" min="6" max="8" width="14.38"/>
    <col customWidth="1" min="9" max="9" width="19.13"/>
    <col customWidth="1" min="10" max="10" width="14.38"/>
    <col customWidth="1" hidden="1" min="11" max="12" width="14.38"/>
    <col customWidth="1" min="13" max="14" width="14.38"/>
    <col customWidth="1" min="15" max="15" width="31.63"/>
    <col customWidth="1" min="16" max="16" width="55.63"/>
    <col customWidth="1" min="17" max="26" width="14.38"/>
  </cols>
  <sheetData>
    <row r="1" ht="15.7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3" t="s">
        <v>3</v>
      </c>
      <c r="H1" s="2"/>
      <c r="I1" s="3" t="s">
        <v>4</v>
      </c>
      <c r="J1" s="2"/>
      <c r="K1" s="3" t="s">
        <v>5</v>
      </c>
      <c r="L1" s="2"/>
      <c r="M1" s="4" t="s">
        <v>33</v>
      </c>
      <c r="N1" s="4" t="s">
        <v>7</v>
      </c>
      <c r="O1" s="5" t="s">
        <v>8</v>
      </c>
      <c r="P1" s="5" t="s">
        <v>9</v>
      </c>
    </row>
    <row r="2" ht="15.75" customHeight="1">
      <c r="A2" s="152" t="s">
        <v>122</v>
      </c>
      <c r="B2" s="7">
        <f>AVERAGE(D2:D23)</f>
        <v>0.2721611722</v>
      </c>
      <c r="C2" s="147" t="s">
        <v>123</v>
      </c>
      <c r="D2" s="9">
        <f t="shared" ref="D2:D10" si="1">F2</f>
        <v>0.1</v>
      </c>
      <c r="E2" s="147"/>
      <c r="F2" s="9">
        <f t="shared" ref="F2:F10" si="2">M2/N2</f>
        <v>0.1</v>
      </c>
      <c r="G2" s="88"/>
      <c r="H2" s="89">
        <f t="shared" ref="H2:H51" si="3">M2/N2</f>
        <v>0.1</v>
      </c>
      <c r="I2" s="88"/>
      <c r="J2" s="89">
        <f t="shared" ref="J2:J51" si="4">M2/N2</f>
        <v>0.1</v>
      </c>
      <c r="K2" s="88"/>
      <c r="L2" s="89">
        <f t="shared" ref="L2:L13" si="5">M2/N2</f>
        <v>0.1</v>
      </c>
      <c r="M2" s="13">
        <v>1.0</v>
      </c>
      <c r="N2" s="13">
        <v>10.0</v>
      </c>
      <c r="O2" s="138" t="str">
        <f t="shared" ref="O2:O51" si="6">IFS(NOT(ISBLANK(K2)),K2,NOT(ISBLANK(I2)),I2,NOT(ISBLANK(G2)),G2,NOT(ISBLANK(E2)),E2,NOT(ISBLANK(C2)),C2,NOT(ISBLANK(A2)),A2)</f>
        <v>Потоки</v>
      </c>
    </row>
    <row r="3" ht="15.75" customHeight="1">
      <c r="A3" s="16"/>
      <c r="B3" s="17"/>
      <c r="C3" s="26" t="s">
        <v>124</v>
      </c>
      <c r="D3" s="21">
        <f t="shared" si="1"/>
        <v>0.1</v>
      </c>
      <c r="E3" s="26"/>
      <c r="F3" s="21">
        <f t="shared" si="2"/>
        <v>0.1</v>
      </c>
      <c r="G3" s="75"/>
      <c r="H3" s="76">
        <f t="shared" si="3"/>
        <v>0.1</v>
      </c>
      <c r="I3" s="77"/>
      <c r="J3" s="76">
        <f t="shared" si="4"/>
        <v>0.1</v>
      </c>
      <c r="K3" s="75"/>
      <c r="L3" s="76">
        <f t="shared" si="5"/>
        <v>0.1</v>
      </c>
      <c r="M3" s="25">
        <v>1.0</v>
      </c>
      <c r="N3" s="25">
        <v>10.0</v>
      </c>
      <c r="O3" s="138" t="str">
        <f t="shared" si="6"/>
        <v>Глобальные слои</v>
      </c>
    </row>
    <row r="4" ht="15.75" customHeight="1">
      <c r="A4" s="16"/>
      <c r="B4" s="17"/>
      <c r="C4" s="26" t="s">
        <v>125</v>
      </c>
      <c r="D4" s="21">
        <f t="shared" si="1"/>
        <v>0.1</v>
      </c>
      <c r="E4" s="26"/>
      <c r="F4" s="21">
        <f t="shared" si="2"/>
        <v>0.1</v>
      </c>
      <c r="G4" s="75"/>
      <c r="H4" s="76">
        <f t="shared" si="3"/>
        <v>0.1</v>
      </c>
      <c r="I4" s="77"/>
      <c r="J4" s="76">
        <f t="shared" si="4"/>
        <v>0.1</v>
      </c>
      <c r="K4" s="75"/>
      <c r="L4" s="76">
        <f t="shared" si="5"/>
        <v>0.1</v>
      </c>
      <c r="M4" s="25">
        <v>1.0</v>
      </c>
      <c r="N4" s="25">
        <v>10.0</v>
      </c>
      <c r="O4" s="138" t="str">
        <f t="shared" si="6"/>
        <v>SKIA</v>
      </c>
    </row>
    <row r="5" ht="15.75" customHeight="1">
      <c r="A5" s="16"/>
      <c r="B5" s="17"/>
      <c r="C5" s="159" t="s">
        <v>126</v>
      </c>
      <c r="D5" s="21">
        <f t="shared" si="1"/>
        <v>0.1</v>
      </c>
      <c r="E5" s="26"/>
      <c r="F5" s="21">
        <f t="shared" si="2"/>
        <v>0.1</v>
      </c>
      <c r="G5" s="75"/>
      <c r="H5" s="76">
        <f t="shared" si="3"/>
        <v>0.1</v>
      </c>
      <c r="I5" s="77"/>
      <c r="J5" s="76">
        <f t="shared" si="4"/>
        <v>0.1</v>
      </c>
      <c r="K5" s="75"/>
      <c r="L5" s="76">
        <f t="shared" si="5"/>
        <v>0.1</v>
      </c>
      <c r="M5" s="25">
        <v>1.0</v>
      </c>
      <c r="N5" s="25">
        <v>10.0</v>
      </c>
      <c r="O5" s="138" t="str">
        <f t="shared" si="6"/>
        <v>Bindings</v>
      </c>
    </row>
    <row r="6" ht="15.75" customHeight="1">
      <c r="A6" s="16"/>
      <c r="B6" s="17"/>
      <c r="C6" s="159" t="s">
        <v>127</v>
      </c>
      <c r="D6" s="21">
        <f t="shared" si="1"/>
        <v>0.4</v>
      </c>
      <c r="E6" s="26"/>
      <c r="F6" s="21">
        <f t="shared" si="2"/>
        <v>0.4</v>
      </c>
      <c r="G6" s="75"/>
      <c r="H6" s="76">
        <f t="shared" si="3"/>
        <v>0.4</v>
      </c>
      <c r="I6" s="77"/>
      <c r="J6" s="76">
        <f t="shared" si="4"/>
        <v>0.4</v>
      </c>
      <c r="K6" s="75"/>
      <c r="L6" s="76">
        <f t="shared" si="5"/>
        <v>0.4</v>
      </c>
      <c r="M6" s="25">
        <v>4.0</v>
      </c>
      <c r="N6" s="25">
        <v>10.0</v>
      </c>
      <c r="O6" s="138" t="str">
        <f t="shared" si="6"/>
        <v>Цикл построения кадра</v>
      </c>
    </row>
    <row r="7" ht="15.75" customHeight="1">
      <c r="A7" s="16"/>
      <c r="B7" s="17"/>
      <c r="C7" s="159" t="s">
        <v>128</v>
      </c>
      <c r="D7" s="21">
        <f t="shared" si="1"/>
        <v>0.3</v>
      </c>
      <c r="E7" s="26"/>
      <c r="F7" s="21">
        <f t="shared" si="2"/>
        <v>0.3</v>
      </c>
      <c r="G7" s="75"/>
      <c r="H7" s="76">
        <f t="shared" si="3"/>
        <v>0.3</v>
      </c>
      <c r="I7" s="77"/>
      <c r="J7" s="76">
        <f t="shared" si="4"/>
        <v>0.3</v>
      </c>
      <c r="K7" s="75"/>
      <c r="L7" s="76">
        <f t="shared" si="5"/>
        <v>0.3</v>
      </c>
      <c r="M7" s="25">
        <v>3.0</v>
      </c>
      <c r="N7" s="25">
        <v>10.0</v>
      </c>
      <c r="O7" s="138" t="str">
        <f t="shared" si="6"/>
        <v>Деревья</v>
      </c>
    </row>
    <row r="8" ht="15.75" customHeight="1">
      <c r="A8" s="16"/>
      <c r="B8" s="17"/>
      <c r="C8" s="159" t="s">
        <v>129</v>
      </c>
      <c r="D8" s="21">
        <f t="shared" si="1"/>
        <v>0.4</v>
      </c>
      <c r="E8" s="26"/>
      <c r="F8" s="21">
        <f t="shared" si="2"/>
        <v>0.4</v>
      </c>
      <c r="G8" s="75"/>
      <c r="H8" s="76">
        <f t="shared" si="3"/>
        <v>0.4</v>
      </c>
      <c r="I8" s="77"/>
      <c r="J8" s="76">
        <f t="shared" si="4"/>
        <v>0.4</v>
      </c>
      <c r="K8" s="75"/>
      <c r="L8" s="76">
        <f t="shared" si="5"/>
        <v>0.4</v>
      </c>
      <c r="M8" s="25">
        <v>4.0</v>
      </c>
      <c r="N8" s="25">
        <v>10.0</v>
      </c>
      <c r="O8" s="138" t="str">
        <f t="shared" si="6"/>
        <v>context</v>
      </c>
    </row>
    <row r="9" ht="15.75" customHeight="1">
      <c r="A9" s="16"/>
      <c r="B9" s="17"/>
      <c r="C9" s="159" t="s">
        <v>130</v>
      </c>
      <c r="D9" s="21">
        <f t="shared" si="1"/>
        <v>0.3</v>
      </c>
      <c r="E9" s="26"/>
      <c r="F9" s="21">
        <f t="shared" si="2"/>
        <v>0.3</v>
      </c>
      <c r="G9" s="75"/>
      <c r="H9" s="76">
        <f t="shared" si="3"/>
        <v>0.3</v>
      </c>
      <c r="I9" s="77"/>
      <c r="J9" s="76">
        <f t="shared" si="4"/>
        <v>0.3</v>
      </c>
      <c r="K9" s="75"/>
      <c r="L9" s="76">
        <f t="shared" si="5"/>
        <v>0.3</v>
      </c>
      <c r="M9" s="25">
        <v>3.0</v>
      </c>
      <c r="N9" s="25">
        <v>10.0</v>
      </c>
      <c r="O9" s="138" t="str">
        <f t="shared" si="6"/>
        <v>RenderObject</v>
      </c>
    </row>
    <row r="10" ht="15.75" customHeight="1">
      <c r="A10" s="16"/>
      <c r="B10" s="17"/>
      <c r="C10" s="155" t="s">
        <v>131</v>
      </c>
      <c r="D10" s="74">
        <f t="shared" si="1"/>
        <v>0.5</v>
      </c>
      <c r="E10" s="155"/>
      <c r="F10" s="74">
        <f t="shared" si="2"/>
        <v>0.5</v>
      </c>
      <c r="G10" s="167"/>
      <c r="H10" s="168">
        <f t="shared" si="3"/>
        <v>0.5</v>
      </c>
      <c r="I10" s="169"/>
      <c r="J10" s="168">
        <f t="shared" si="4"/>
        <v>0.5</v>
      </c>
      <c r="K10" s="167"/>
      <c r="L10" s="168">
        <f t="shared" si="5"/>
        <v>0.5</v>
      </c>
      <c r="M10" s="170">
        <v>5.0</v>
      </c>
      <c r="N10" s="170">
        <v>10.0</v>
      </c>
      <c r="O10" s="138" t="str">
        <f t="shared" si="6"/>
        <v>Sliver</v>
      </c>
    </row>
    <row r="11" ht="15.75" customHeight="1">
      <c r="A11" s="16"/>
      <c r="B11" s="17"/>
      <c r="C11" s="93" t="s">
        <v>132</v>
      </c>
      <c r="D11" s="92">
        <f>AVERAGE(F11:F14)</f>
        <v>0.3666666667</v>
      </c>
      <c r="E11" s="93" t="s">
        <v>133</v>
      </c>
      <c r="F11" s="92">
        <f>AVERAGE(H11:H13)</f>
        <v>0.6333333333</v>
      </c>
      <c r="G11" s="171" t="s">
        <v>134</v>
      </c>
      <c r="H11" s="101">
        <f t="shared" si="3"/>
        <v>0.8</v>
      </c>
      <c r="I11" s="172"/>
      <c r="J11" s="101">
        <f t="shared" si="4"/>
        <v>0.8</v>
      </c>
      <c r="K11" s="165"/>
      <c r="L11" s="173">
        <f t="shared" si="5"/>
        <v>0.8</v>
      </c>
      <c r="M11" s="103">
        <v>8.0</v>
      </c>
      <c r="N11" s="103">
        <v>10.0</v>
      </c>
      <c r="O11" s="138" t="str">
        <f t="shared" si="6"/>
        <v>Stateless</v>
      </c>
    </row>
    <row r="12" ht="15.75" customHeight="1">
      <c r="A12" s="16"/>
      <c r="B12" s="17"/>
      <c r="D12" s="17"/>
      <c r="F12" s="17"/>
      <c r="G12" s="156" t="s">
        <v>135</v>
      </c>
      <c r="H12" s="76">
        <f t="shared" si="3"/>
        <v>0.7</v>
      </c>
      <c r="I12" s="174"/>
      <c r="J12" s="76">
        <f t="shared" si="4"/>
        <v>0.7</v>
      </c>
      <c r="K12" s="175"/>
      <c r="L12" s="176">
        <f t="shared" si="5"/>
        <v>0.7</v>
      </c>
      <c r="M12" s="25">
        <v>7.0</v>
      </c>
      <c r="N12" s="25">
        <v>10.0</v>
      </c>
      <c r="O12" s="138" t="str">
        <f t="shared" si="6"/>
        <v>Statefull</v>
      </c>
    </row>
    <row r="13" ht="15.75" customHeight="1">
      <c r="A13" s="16"/>
      <c r="B13" s="17"/>
      <c r="D13" s="17"/>
      <c r="E13" s="157"/>
      <c r="F13" s="19"/>
      <c r="G13" s="156" t="s">
        <v>136</v>
      </c>
      <c r="H13" s="76">
        <f t="shared" si="3"/>
        <v>0.4</v>
      </c>
      <c r="I13" s="177" t="s">
        <v>137</v>
      </c>
      <c r="J13" s="76">
        <f t="shared" si="4"/>
        <v>0.4</v>
      </c>
      <c r="K13" s="175"/>
      <c r="L13" s="176">
        <f t="shared" si="5"/>
        <v>0.4</v>
      </c>
      <c r="M13" s="25">
        <v>4.0</v>
      </c>
      <c r="N13" s="25">
        <v>10.0</v>
      </c>
      <c r="O13" s="138" t="str">
        <f t="shared" si="6"/>
        <v>InheritedWidget</v>
      </c>
    </row>
    <row r="14" ht="15.75" customHeight="1">
      <c r="A14" s="16"/>
      <c r="B14" s="17"/>
      <c r="C14" s="178"/>
      <c r="D14" s="28"/>
      <c r="E14" s="38" t="s">
        <v>138</v>
      </c>
      <c r="F14" s="37">
        <f t="shared" ref="F14:F51" si="7">M14/N14</f>
        <v>0.1</v>
      </c>
      <c r="G14" s="179"/>
      <c r="H14" s="80">
        <f t="shared" si="3"/>
        <v>0.1</v>
      </c>
      <c r="I14" s="180"/>
      <c r="J14" s="80">
        <f t="shared" si="4"/>
        <v>0.1</v>
      </c>
      <c r="K14" s="166"/>
      <c r="L14" s="181"/>
      <c r="M14" s="35">
        <v>1.0</v>
      </c>
      <c r="N14" s="35">
        <v>10.0</v>
      </c>
      <c r="O14" s="138" t="str">
        <f t="shared" si="6"/>
        <v>RenderObjectWidget</v>
      </c>
    </row>
    <row r="15" ht="15.75" customHeight="1">
      <c r="A15" s="16"/>
      <c r="B15" s="17"/>
      <c r="C15" s="182" t="s">
        <v>139</v>
      </c>
      <c r="D15" s="50">
        <f>AVERAGE(F15:F21)</f>
        <v>0.2714285714</v>
      </c>
      <c r="E15" s="53" t="s">
        <v>140</v>
      </c>
      <c r="F15" s="52">
        <f t="shared" si="7"/>
        <v>0.3</v>
      </c>
      <c r="G15" s="88"/>
      <c r="H15" s="89">
        <f t="shared" si="3"/>
        <v>0.3</v>
      </c>
      <c r="I15" s="90"/>
      <c r="J15" s="89">
        <f t="shared" si="4"/>
        <v>0.3</v>
      </c>
      <c r="K15" s="88"/>
      <c r="L15" s="89">
        <f t="shared" ref="L15:L51" si="8">M15/N15</f>
        <v>0.3</v>
      </c>
      <c r="M15" s="54">
        <v>3.0</v>
      </c>
      <c r="N15" s="54">
        <v>10.0</v>
      </c>
      <c r="O15" s="138" t="str">
        <f t="shared" si="6"/>
        <v>Factory</v>
      </c>
    </row>
    <row r="16" ht="15.75" customHeight="1">
      <c r="A16" s="16"/>
      <c r="B16" s="17"/>
      <c r="D16" s="17"/>
      <c r="E16" s="159" t="s">
        <v>141</v>
      </c>
      <c r="F16" s="21">
        <f t="shared" si="7"/>
        <v>0.3</v>
      </c>
      <c r="G16" s="75"/>
      <c r="H16" s="76">
        <f t="shared" si="3"/>
        <v>0.3</v>
      </c>
      <c r="I16" s="77"/>
      <c r="J16" s="76">
        <f t="shared" si="4"/>
        <v>0.3</v>
      </c>
      <c r="K16" s="75"/>
      <c r="L16" s="76">
        <f t="shared" si="8"/>
        <v>0.3</v>
      </c>
      <c r="M16" s="25">
        <v>3.0</v>
      </c>
      <c r="N16" s="25">
        <v>10.0</v>
      </c>
      <c r="O16" s="138" t="str">
        <f t="shared" si="6"/>
        <v>Builder</v>
      </c>
    </row>
    <row r="17" ht="15.75" customHeight="1">
      <c r="A17" s="16"/>
      <c r="B17" s="17"/>
      <c r="D17" s="17"/>
      <c r="E17" s="26" t="s">
        <v>142</v>
      </c>
      <c r="F17" s="21">
        <f t="shared" si="7"/>
        <v>0.3</v>
      </c>
      <c r="G17" s="75"/>
      <c r="H17" s="76">
        <f t="shared" si="3"/>
        <v>0.3</v>
      </c>
      <c r="I17" s="77"/>
      <c r="J17" s="76">
        <f t="shared" si="4"/>
        <v>0.3</v>
      </c>
      <c r="K17" s="75"/>
      <c r="L17" s="76">
        <f t="shared" si="8"/>
        <v>0.3</v>
      </c>
      <c r="M17" s="25">
        <v>3.0</v>
      </c>
      <c r="N17" s="25">
        <v>10.0</v>
      </c>
      <c r="O17" s="138" t="str">
        <f t="shared" si="6"/>
        <v>State</v>
      </c>
    </row>
    <row r="18" ht="15.75" customHeight="1">
      <c r="A18" s="16"/>
      <c r="B18" s="17"/>
      <c r="D18" s="17"/>
      <c r="E18" s="159" t="s">
        <v>143</v>
      </c>
      <c r="F18" s="21">
        <f t="shared" si="7"/>
        <v>0.4</v>
      </c>
      <c r="G18" s="75"/>
      <c r="H18" s="76">
        <f t="shared" si="3"/>
        <v>0.4</v>
      </c>
      <c r="I18" s="77"/>
      <c r="J18" s="76">
        <f t="shared" si="4"/>
        <v>0.4</v>
      </c>
      <c r="K18" s="75"/>
      <c r="L18" s="76">
        <f t="shared" si="8"/>
        <v>0.4</v>
      </c>
      <c r="M18" s="25">
        <v>4.0</v>
      </c>
      <c r="N18" s="25">
        <v>10.0</v>
      </c>
      <c r="O18" s="138" t="str">
        <f t="shared" si="6"/>
        <v>Observer</v>
      </c>
    </row>
    <row r="19" ht="15.75" customHeight="1">
      <c r="A19" s="16"/>
      <c r="B19" s="17"/>
      <c r="D19" s="17"/>
      <c r="E19" s="159" t="s">
        <v>144</v>
      </c>
      <c r="F19" s="21">
        <f t="shared" si="7"/>
        <v>0</v>
      </c>
      <c r="G19" s="75"/>
      <c r="H19" s="76">
        <f t="shared" si="3"/>
        <v>0</v>
      </c>
      <c r="I19" s="77"/>
      <c r="J19" s="76">
        <f t="shared" si="4"/>
        <v>0</v>
      </c>
      <c r="K19" s="75"/>
      <c r="L19" s="76">
        <f t="shared" si="8"/>
        <v>0</v>
      </c>
      <c r="M19" s="25">
        <v>0.0</v>
      </c>
      <c r="N19" s="25">
        <v>10.0</v>
      </c>
      <c r="O19" s="138" t="str">
        <f t="shared" si="6"/>
        <v>Visitor</v>
      </c>
    </row>
    <row r="20" ht="15.75" customHeight="1">
      <c r="A20" s="16"/>
      <c r="B20" s="17"/>
      <c r="D20" s="17"/>
      <c r="E20" s="159" t="s">
        <v>145</v>
      </c>
      <c r="F20" s="21">
        <f t="shared" si="7"/>
        <v>0.3</v>
      </c>
      <c r="G20" s="75"/>
      <c r="H20" s="76">
        <f t="shared" si="3"/>
        <v>0.3</v>
      </c>
      <c r="I20" s="77"/>
      <c r="J20" s="76">
        <f t="shared" si="4"/>
        <v>0.3</v>
      </c>
      <c r="K20" s="75"/>
      <c r="L20" s="76">
        <f t="shared" si="8"/>
        <v>0.3</v>
      </c>
      <c r="M20" s="25">
        <v>3.0</v>
      </c>
      <c r="N20" s="25">
        <v>10.0</v>
      </c>
      <c r="O20" s="138" t="str">
        <f t="shared" si="6"/>
        <v>Decorator</v>
      </c>
    </row>
    <row r="21" ht="15.75" customHeight="1">
      <c r="A21" s="16"/>
      <c r="B21" s="17"/>
      <c r="C21" s="178"/>
      <c r="D21" s="28"/>
      <c r="E21" s="161" t="s">
        <v>146</v>
      </c>
      <c r="F21" s="30">
        <f t="shared" si="7"/>
        <v>0.3</v>
      </c>
      <c r="G21" s="79"/>
      <c r="H21" s="80">
        <f t="shared" si="3"/>
        <v>0.3</v>
      </c>
      <c r="I21" s="81"/>
      <c r="J21" s="80">
        <f t="shared" si="4"/>
        <v>0.3</v>
      </c>
      <c r="K21" s="79"/>
      <c r="L21" s="80">
        <f t="shared" si="8"/>
        <v>0.3</v>
      </c>
      <c r="M21" s="35">
        <v>3.0</v>
      </c>
      <c r="N21" s="35">
        <v>10.0</v>
      </c>
      <c r="O21" s="138" t="str">
        <f t="shared" si="6"/>
        <v>Composite</v>
      </c>
    </row>
    <row r="22" ht="15.75" customHeight="1">
      <c r="A22" s="16"/>
      <c r="B22" s="17"/>
      <c r="C22" s="158" t="s">
        <v>147</v>
      </c>
      <c r="D22" s="52">
        <f t="shared" ref="D22:D23" si="9">F22</f>
        <v>0.4</v>
      </c>
      <c r="E22" s="53"/>
      <c r="F22" s="52">
        <f t="shared" si="7"/>
        <v>0.4</v>
      </c>
      <c r="G22" s="88"/>
      <c r="H22" s="89">
        <f t="shared" si="3"/>
        <v>0.4</v>
      </c>
      <c r="I22" s="90"/>
      <c r="J22" s="89">
        <f t="shared" si="4"/>
        <v>0.4</v>
      </c>
      <c r="K22" s="88"/>
      <c r="L22" s="89">
        <f t="shared" si="8"/>
        <v>0.4</v>
      </c>
      <c r="M22" s="54">
        <v>4.0</v>
      </c>
      <c r="N22" s="54">
        <v>10.0</v>
      </c>
      <c r="O22" s="138" t="str">
        <f t="shared" si="6"/>
        <v>Gesture system</v>
      </c>
    </row>
    <row r="23" ht="15.75" customHeight="1">
      <c r="A23" s="27"/>
      <c r="B23" s="28"/>
      <c r="C23" s="161" t="s">
        <v>148</v>
      </c>
      <c r="D23" s="30">
        <f t="shared" si="9"/>
        <v>0.2</v>
      </c>
      <c r="E23" s="31"/>
      <c r="F23" s="30">
        <f t="shared" si="7"/>
        <v>0.2</v>
      </c>
      <c r="G23" s="79"/>
      <c r="H23" s="80">
        <f t="shared" si="3"/>
        <v>0.2</v>
      </c>
      <c r="I23" s="81"/>
      <c r="J23" s="80">
        <f t="shared" si="4"/>
        <v>0.2</v>
      </c>
      <c r="K23" s="79"/>
      <c r="L23" s="80">
        <f t="shared" si="8"/>
        <v>0.2</v>
      </c>
      <c r="M23" s="35">
        <v>2.0</v>
      </c>
      <c r="N23" s="35">
        <v>10.0</v>
      </c>
      <c r="O23" s="138" t="str">
        <f t="shared" si="6"/>
        <v>Focus system</v>
      </c>
    </row>
    <row r="24" ht="15.75" customHeight="1">
      <c r="A24" s="164" t="s">
        <v>149</v>
      </c>
      <c r="B24" s="183">
        <f>AVERAGE(D24:D33)</f>
        <v>0.380952381</v>
      </c>
      <c r="C24" s="164" t="s">
        <v>150</v>
      </c>
      <c r="D24" s="183">
        <f>AVERAGE(F24:F25)</f>
        <v>0.5</v>
      </c>
      <c r="E24" s="184" t="s">
        <v>70</v>
      </c>
      <c r="F24" s="101">
        <f t="shared" si="7"/>
        <v>0.8</v>
      </c>
      <c r="G24" s="185"/>
      <c r="H24" s="186">
        <f t="shared" si="3"/>
        <v>0.8</v>
      </c>
      <c r="I24" s="187"/>
      <c r="J24" s="186">
        <f t="shared" si="4"/>
        <v>0.8</v>
      </c>
      <c r="K24" s="185"/>
      <c r="L24" s="186">
        <f t="shared" si="8"/>
        <v>0.8</v>
      </c>
      <c r="M24" s="188">
        <v>8.0</v>
      </c>
      <c r="N24" s="188">
        <v>10.0</v>
      </c>
      <c r="O24" s="189" t="str">
        <f t="shared" si="6"/>
        <v>Material</v>
      </c>
      <c r="P24" s="67"/>
    </row>
    <row r="25" ht="15.75" customHeight="1">
      <c r="A25" s="16"/>
      <c r="B25" s="115"/>
      <c r="C25" s="27"/>
      <c r="D25" s="121"/>
      <c r="E25" s="122" t="s">
        <v>151</v>
      </c>
      <c r="F25" s="80">
        <f t="shared" si="7"/>
        <v>0.2</v>
      </c>
      <c r="G25" s="123"/>
      <c r="H25" s="124">
        <f t="shared" si="3"/>
        <v>0.2</v>
      </c>
      <c r="I25" s="125"/>
      <c r="J25" s="124">
        <f t="shared" si="4"/>
        <v>0.2</v>
      </c>
      <c r="K25" s="123"/>
      <c r="L25" s="124">
        <f t="shared" si="8"/>
        <v>0.2</v>
      </c>
      <c r="M25" s="126">
        <v>2.0</v>
      </c>
      <c r="N25" s="126">
        <v>10.0</v>
      </c>
      <c r="O25" s="189" t="str">
        <f t="shared" si="6"/>
        <v>Cupertino</v>
      </c>
      <c r="P25" s="67"/>
    </row>
    <row r="26" ht="15.75" customHeight="1">
      <c r="A26" s="16"/>
      <c r="B26" s="115"/>
      <c r="C26" s="190" t="s">
        <v>152</v>
      </c>
      <c r="D26" s="109">
        <f>AVERAGE(F26:F28)</f>
        <v>0.1666666667</v>
      </c>
      <c r="E26" s="110" t="s">
        <v>153</v>
      </c>
      <c r="F26" s="89">
        <f t="shared" si="7"/>
        <v>0.4</v>
      </c>
      <c r="G26" s="111"/>
      <c r="H26" s="112">
        <f t="shared" si="3"/>
        <v>0.4</v>
      </c>
      <c r="I26" s="113"/>
      <c r="J26" s="112">
        <f t="shared" si="4"/>
        <v>0.4</v>
      </c>
      <c r="K26" s="111"/>
      <c r="L26" s="112">
        <f t="shared" si="8"/>
        <v>0.4</v>
      </c>
      <c r="M26" s="114">
        <v>4.0</v>
      </c>
      <c r="N26" s="114">
        <v>10.0</v>
      </c>
      <c r="O26" s="189" t="str">
        <f t="shared" si="6"/>
        <v>implicit</v>
      </c>
      <c r="P26" s="67"/>
    </row>
    <row r="27" ht="15.75" customHeight="1">
      <c r="A27" s="16"/>
      <c r="B27" s="115"/>
      <c r="C27" s="16"/>
      <c r="D27" s="115"/>
      <c r="E27" s="116" t="s">
        <v>154</v>
      </c>
      <c r="F27" s="76">
        <f t="shared" si="7"/>
        <v>0.1</v>
      </c>
      <c r="G27" s="117"/>
      <c r="H27" s="118">
        <f t="shared" si="3"/>
        <v>0.1</v>
      </c>
      <c r="I27" s="119"/>
      <c r="J27" s="118">
        <f t="shared" si="4"/>
        <v>0.1</v>
      </c>
      <c r="K27" s="117"/>
      <c r="L27" s="118">
        <f t="shared" si="8"/>
        <v>0.1</v>
      </c>
      <c r="M27" s="120">
        <v>1.0</v>
      </c>
      <c r="N27" s="120">
        <v>10.0</v>
      </c>
      <c r="O27" s="189" t="str">
        <f t="shared" si="6"/>
        <v>explicit</v>
      </c>
      <c r="P27" s="67"/>
    </row>
    <row r="28" ht="15.75" customHeight="1">
      <c r="A28" s="16"/>
      <c r="B28" s="115"/>
      <c r="C28" s="27"/>
      <c r="D28" s="121"/>
      <c r="E28" s="122" t="s">
        <v>155</v>
      </c>
      <c r="F28" s="80">
        <f t="shared" si="7"/>
        <v>0</v>
      </c>
      <c r="G28" s="123"/>
      <c r="H28" s="124">
        <f t="shared" si="3"/>
        <v>0</v>
      </c>
      <c r="I28" s="125"/>
      <c r="J28" s="124">
        <f t="shared" si="4"/>
        <v>0</v>
      </c>
      <c r="K28" s="123"/>
      <c r="L28" s="124">
        <f t="shared" si="8"/>
        <v>0</v>
      </c>
      <c r="M28" s="126">
        <v>0.0</v>
      </c>
      <c r="N28" s="126">
        <v>10.0</v>
      </c>
      <c r="O28" s="189" t="str">
        <f t="shared" si="6"/>
        <v>skeleton</v>
      </c>
      <c r="P28" s="67"/>
    </row>
    <row r="29" ht="15.75" customHeight="1">
      <c r="A29" s="16"/>
      <c r="B29" s="115"/>
      <c r="C29" s="191" t="s">
        <v>156</v>
      </c>
      <c r="D29" s="89">
        <f t="shared" ref="D29:D33" si="10">F29</f>
        <v>0.1</v>
      </c>
      <c r="E29" s="110"/>
      <c r="F29" s="89">
        <f t="shared" si="7"/>
        <v>0.1</v>
      </c>
      <c r="G29" s="111"/>
      <c r="H29" s="112">
        <f t="shared" si="3"/>
        <v>0.1</v>
      </c>
      <c r="I29" s="113"/>
      <c r="J29" s="112">
        <f t="shared" si="4"/>
        <v>0.1</v>
      </c>
      <c r="K29" s="111"/>
      <c r="L29" s="112">
        <f t="shared" si="8"/>
        <v>0.1</v>
      </c>
      <c r="M29" s="114">
        <v>1.0</v>
      </c>
      <c r="N29" s="114">
        <v>10.0</v>
      </c>
      <c r="O29" s="189" t="str">
        <f t="shared" si="6"/>
        <v>Diagnostic</v>
      </c>
      <c r="P29" s="67"/>
    </row>
    <row r="30" ht="15.75" customHeight="1">
      <c r="A30" s="16"/>
      <c r="B30" s="115"/>
      <c r="C30" s="177" t="s">
        <v>157</v>
      </c>
      <c r="D30" s="76">
        <f t="shared" si="10"/>
        <v>0.2</v>
      </c>
      <c r="E30" s="116"/>
      <c r="F30" s="76">
        <f t="shared" si="7"/>
        <v>0.2</v>
      </c>
      <c r="G30" s="117"/>
      <c r="H30" s="118">
        <f t="shared" si="3"/>
        <v>0.2</v>
      </c>
      <c r="I30" s="119"/>
      <c r="J30" s="118">
        <f t="shared" si="4"/>
        <v>0.2</v>
      </c>
      <c r="K30" s="117"/>
      <c r="L30" s="118">
        <f t="shared" si="8"/>
        <v>0.2</v>
      </c>
      <c r="M30" s="120">
        <v>2.0</v>
      </c>
      <c r="N30" s="120">
        <v>10.0</v>
      </c>
      <c r="O30" s="189" t="str">
        <f t="shared" si="6"/>
        <v>accesability</v>
      </c>
      <c r="P30" s="67"/>
    </row>
    <row r="31" ht="15.75" customHeight="1">
      <c r="A31" s="16"/>
      <c r="B31" s="115"/>
      <c r="C31" s="177" t="s">
        <v>158</v>
      </c>
      <c r="D31" s="76">
        <f t="shared" si="10"/>
        <v>0.8</v>
      </c>
      <c r="E31" s="116"/>
      <c r="F31" s="76">
        <f t="shared" si="7"/>
        <v>0.8</v>
      </c>
      <c r="G31" s="117"/>
      <c r="H31" s="118">
        <f t="shared" si="3"/>
        <v>0.8</v>
      </c>
      <c r="I31" s="119"/>
      <c r="J31" s="118">
        <f t="shared" si="4"/>
        <v>0.8</v>
      </c>
      <c r="K31" s="117"/>
      <c r="L31" s="118">
        <f t="shared" si="8"/>
        <v>0.8</v>
      </c>
      <c r="M31" s="120">
        <v>8.0</v>
      </c>
      <c r="N31" s="120">
        <v>10.0</v>
      </c>
      <c r="O31" s="189" t="str">
        <f t="shared" si="6"/>
        <v>Assets</v>
      </c>
      <c r="P31" s="67"/>
    </row>
    <row r="32" ht="15.75" customHeight="1">
      <c r="A32" s="16"/>
      <c r="B32" s="115"/>
      <c r="C32" s="177" t="s">
        <v>159</v>
      </c>
      <c r="D32" s="76">
        <f t="shared" si="10"/>
        <v>0.6</v>
      </c>
      <c r="E32" s="116"/>
      <c r="F32" s="76">
        <f t="shared" si="7"/>
        <v>0.6</v>
      </c>
      <c r="G32" s="117"/>
      <c r="H32" s="118">
        <f t="shared" si="3"/>
        <v>0.6</v>
      </c>
      <c r="I32" s="119"/>
      <c r="J32" s="118">
        <f t="shared" si="4"/>
        <v>0.6</v>
      </c>
      <c r="K32" s="117"/>
      <c r="L32" s="118">
        <f t="shared" si="8"/>
        <v>0.6</v>
      </c>
      <c r="M32" s="120">
        <v>6.0</v>
      </c>
      <c r="N32" s="120">
        <v>10.0</v>
      </c>
      <c r="O32" s="138" t="str">
        <f t="shared" si="6"/>
        <v>Layout</v>
      </c>
    </row>
    <row r="33" ht="15.75" customHeight="1">
      <c r="A33" s="27"/>
      <c r="B33" s="121"/>
      <c r="C33" s="180" t="s">
        <v>160</v>
      </c>
      <c r="D33" s="80">
        <f t="shared" si="10"/>
        <v>0.3</v>
      </c>
      <c r="E33" s="122"/>
      <c r="F33" s="80">
        <f t="shared" si="7"/>
        <v>0.3</v>
      </c>
      <c r="G33" s="123"/>
      <c r="H33" s="124">
        <f t="shared" si="3"/>
        <v>0.3</v>
      </c>
      <c r="I33" s="125"/>
      <c r="J33" s="124">
        <f t="shared" si="4"/>
        <v>0.3</v>
      </c>
      <c r="K33" s="123"/>
      <c r="L33" s="124">
        <f t="shared" si="8"/>
        <v>0.3</v>
      </c>
      <c r="M33" s="126">
        <v>3.0</v>
      </c>
      <c r="N33" s="126">
        <v>10.0</v>
      </c>
      <c r="O33" s="138" t="str">
        <f t="shared" si="6"/>
        <v>Theme</v>
      </c>
    </row>
    <row r="34" ht="15.75" customHeight="1">
      <c r="A34" s="190" t="s">
        <v>161</v>
      </c>
      <c r="B34" s="109">
        <f>AVERAGE(D34:D51)</f>
        <v>0.2172222222</v>
      </c>
      <c r="C34" s="190" t="s">
        <v>162</v>
      </c>
      <c r="D34" s="109">
        <f>AVERAGE(F34:F38)</f>
        <v>0.24</v>
      </c>
      <c r="E34" s="191" t="s">
        <v>163</v>
      </c>
      <c r="F34" s="89">
        <f t="shared" si="7"/>
        <v>0.5</v>
      </c>
      <c r="G34" s="111"/>
      <c r="H34" s="112">
        <f t="shared" si="3"/>
        <v>0.5</v>
      </c>
      <c r="I34" s="113"/>
      <c r="J34" s="112">
        <f t="shared" si="4"/>
        <v>0.5</v>
      </c>
      <c r="K34" s="111"/>
      <c r="L34" s="112">
        <f t="shared" si="8"/>
        <v>0.5</v>
      </c>
      <c r="M34" s="114">
        <v>5.0</v>
      </c>
      <c r="N34" s="114">
        <v>10.0</v>
      </c>
      <c r="O34" s="138" t="str">
        <f t="shared" si="6"/>
        <v>Elementary</v>
      </c>
    </row>
    <row r="35" ht="15.75" customHeight="1">
      <c r="A35" s="16"/>
      <c r="B35" s="115"/>
      <c r="C35" s="16"/>
      <c r="D35" s="115"/>
      <c r="E35" s="177" t="s">
        <v>164</v>
      </c>
      <c r="F35" s="76">
        <f t="shared" si="7"/>
        <v>0.3</v>
      </c>
      <c r="G35" s="117"/>
      <c r="H35" s="118">
        <f t="shared" si="3"/>
        <v>0.3</v>
      </c>
      <c r="I35" s="119"/>
      <c r="J35" s="118">
        <f t="shared" si="4"/>
        <v>0.3</v>
      </c>
      <c r="K35" s="117"/>
      <c r="L35" s="118">
        <f t="shared" si="8"/>
        <v>0.3</v>
      </c>
      <c r="M35" s="120">
        <v>3.0</v>
      </c>
      <c r="N35" s="120">
        <v>10.0</v>
      </c>
      <c r="O35" s="138" t="str">
        <f t="shared" si="6"/>
        <v>mwwm</v>
      </c>
    </row>
    <row r="36" ht="15.75" customHeight="1">
      <c r="A36" s="16"/>
      <c r="B36" s="115"/>
      <c r="C36" s="16"/>
      <c r="D36" s="115"/>
      <c r="E36" s="177" t="s">
        <v>165</v>
      </c>
      <c r="F36" s="76">
        <f t="shared" si="7"/>
        <v>0</v>
      </c>
      <c r="G36" s="117"/>
      <c r="H36" s="118">
        <f t="shared" si="3"/>
        <v>0</v>
      </c>
      <c r="I36" s="119"/>
      <c r="J36" s="118">
        <f t="shared" si="4"/>
        <v>0</v>
      </c>
      <c r="K36" s="117"/>
      <c r="L36" s="118">
        <f t="shared" si="8"/>
        <v>0</v>
      </c>
      <c r="M36" s="120">
        <v>0.0</v>
      </c>
      <c r="N36" s="120">
        <v>10.0</v>
      </c>
      <c r="O36" s="138" t="str">
        <f t="shared" si="6"/>
        <v>MobX</v>
      </c>
    </row>
    <row r="37" ht="15.75" customHeight="1">
      <c r="A37" s="16"/>
      <c r="B37" s="115"/>
      <c r="C37" s="16"/>
      <c r="D37" s="115"/>
      <c r="E37" s="177" t="s">
        <v>166</v>
      </c>
      <c r="F37" s="76">
        <f t="shared" si="7"/>
        <v>0.3</v>
      </c>
      <c r="G37" s="117"/>
      <c r="H37" s="118">
        <f t="shared" si="3"/>
        <v>0.3</v>
      </c>
      <c r="I37" s="119"/>
      <c r="J37" s="118">
        <f t="shared" si="4"/>
        <v>0.3</v>
      </c>
      <c r="K37" s="117"/>
      <c r="L37" s="118">
        <f t="shared" si="8"/>
        <v>0.3</v>
      </c>
      <c r="M37" s="120">
        <v>3.0</v>
      </c>
      <c r="N37" s="120">
        <v>10.0</v>
      </c>
      <c r="O37" s="138" t="str">
        <f t="shared" si="6"/>
        <v>bloc/qubit</v>
      </c>
    </row>
    <row r="38" ht="15.75" customHeight="1">
      <c r="A38" s="16"/>
      <c r="B38" s="115"/>
      <c r="C38" s="27"/>
      <c r="D38" s="121"/>
      <c r="E38" s="180" t="s">
        <v>167</v>
      </c>
      <c r="F38" s="80">
        <f t="shared" si="7"/>
        <v>0.1</v>
      </c>
      <c r="G38" s="123"/>
      <c r="H38" s="124">
        <f t="shared" si="3"/>
        <v>0.1</v>
      </c>
      <c r="I38" s="125"/>
      <c r="J38" s="124">
        <f t="shared" si="4"/>
        <v>0.1</v>
      </c>
      <c r="K38" s="123"/>
      <c r="L38" s="124">
        <f t="shared" si="8"/>
        <v>0.1</v>
      </c>
      <c r="M38" s="126">
        <v>1.0</v>
      </c>
      <c r="N38" s="126">
        <v>10.0</v>
      </c>
      <c r="O38" s="138" t="str">
        <f t="shared" si="6"/>
        <v>redux</v>
      </c>
    </row>
    <row r="39" ht="15.75" customHeight="1">
      <c r="A39" s="16"/>
      <c r="B39" s="115"/>
      <c r="C39" s="190" t="s">
        <v>23</v>
      </c>
      <c r="D39" s="109">
        <f>AVERAGE(F39:F41)</f>
        <v>0.2666666667</v>
      </c>
      <c r="E39" s="192" t="s">
        <v>168</v>
      </c>
      <c r="F39" s="112">
        <f t="shared" si="7"/>
        <v>0.8</v>
      </c>
      <c r="G39" s="111"/>
      <c r="H39" s="112">
        <f t="shared" si="3"/>
        <v>0.8</v>
      </c>
      <c r="I39" s="113"/>
      <c r="J39" s="112">
        <f t="shared" si="4"/>
        <v>0.8</v>
      </c>
      <c r="K39" s="111"/>
      <c r="L39" s="112">
        <f t="shared" si="8"/>
        <v>0.8</v>
      </c>
      <c r="M39" s="193">
        <v>8.0</v>
      </c>
      <c r="N39" s="193">
        <v>10.0</v>
      </c>
      <c r="O39" s="138" t="str">
        <f t="shared" si="6"/>
        <v>provider</v>
      </c>
    </row>
    <row r="40" ht="15.75" customHeight="1">
      <c r="A40" s="16"/>
      <c r="B40" s="115"/>
      <c r="C40" s="16"/>
      <c r="D40" s="115"/>
      <c r="E40" s="194" t="s">
        <v>169</v>
      </c>
      <c r="F40" s="118">
        <f t="shared" si="7"/>
        <v>0</v>
      </c>
      <c r="G40" s="117"/>
      <c r="H40" s="118">
        <f t="shared" si="3"/>
        <v>0</v>
      </c>
      <c r="I40" s="119"/>
      <c r="J40" s="118">
        <f t="shared" si="4"/>
        <v>0</v>
      </c>
      <c r="K40" s="117"/>
      <c r="L40" s="118">
        <f t="shared" si="8"/>
        <v>0</v>
      </c>
      <c r="M40" s="195">
        <v>0.0</v>
      </c>
      <c r="N40" s="195">
        <v>10.0</v>
      </c>
      <c r="O40" s="138" t="str">
        <f t="shared" si="6"/>
        <v>riverpod</v>
      </c>
    </row>
    <row r="41" ht="15.75" customHeight="1">
      <c r="A41" s="16"/>
      <c r="B41" s="115"/>
      <c r="C41" s="27"/>
      <c r="D41" s="121"/>
      <c r="E41" s="196" t="s">
        <v>170</v>
      </c>
      <c r="F41" s="124">
        <f t="shared" si="7"/>
        <v>0</v>
      </c>
      <c r="G41" s="123"/>
      <c r="H41" s="124">
        <f t="shared" si="3"/>
        <v>0</v>
      </c>
      <c r="I41" s="125"/>
      <c r="J41" s="124">
        <f t="shared" si="4"/>
        <v>0</v>
      </c>
      <c r="K41" s="123"/>
      <c r="L41" s="124">
        <f t="shared" si="8"/>
        <v>0</v>
      </c>
      <c r="M41" s="197">
        <v>0.0</v>
      </c>
      <c r="N41" s="197">
        <v>10.0</v>
      </c>
      <c r="O41" s="138" t="str">
        <f t="shared" si="6"/>
        <v>getIt</v>
      </c>
    </row>
    <row r="42" ht="15.75" customHeight="1">
      <c r="A42" s="16"/>
      <c r="B42" s="115"/>
      <c r="C42" s="192" t="s">
        <v>171</v>
      </c>
      <c r="D42" s="112">
        <f t="shared" ref="D42:D51" si="11">F42</f>
        <v>0</v>
      </c>
      <c r="E42" s="111"/>
      <c r="F42" s="112">
        <f t="shared" si="7"/>
        <v>0</v>
      </c>
      <c r="G42" s="111"/>
      <c r="H42" s="112">
        <f t="shared" si="3"/>
        <v>0</v>
      </c>
      <c r="I42" s="113"/>
      <c r="J42" s="112">
        <f t="shared" si="4"/>
        <v>0</v>
      </c>
      <c r="K42" s="111"/>
      <c r="L42" s="112">
        <f t="shared" si="8"/>
        <v>0</v>
      </c>
      <c r="M42" s="193">
        <v>0.0</v>
      </c>
      <c r="N42" s="193">
        <v>10.0</v>
      </c>
      <c r="O42" s="138" t="str">
        <f t="shared" si="6"/>
        <v>drift (ex moor)</v>
      </c>
    </row>
    <row r="43" ht="15.75" customHeight="1">
      <c r="A43" s="16"/>
      <c r="B43" s="115"/>
      <c r="C43" s="194" t="s">
        <v>172</v>
      </c>
      <c r="D43" s="118">
        <f t="shared" si="11"/>
        <v>0.3</v>
      </c>
      <c r="E43" s="117"/>
      <c r="F43" s="118">
        <f t="shared" si="7"/>
        <v>0.3</v>
      </c>
      <c r="G43" s="117"/>
      <c r="H43" s="118">
        <f t="shared" si="3"/>
        <v>0.3</v>
      </c>
      <c r="I43" s="119"/>
      <c r="J43" s="118">
        <f t="shared" si="4"/>
        <v>0.3</v>
      </c>
      <c r="K43" s="117"/>
      <c r="L43" s="118">
        <f t="shared" si="8"/>
        <v>0.3</v>
      </c>
      <c r="M43" s="195">
        <v>3.0</v>
      </c>
      <c r="N43" s="195">
        <v>10.0</v>
      </c>
      <c r="O43" s="138" t="str">
        <f t="shared" si="6"/>
        <v>firebase</v>
      </c>
    </row>
    <row r="44" ht="15.75" customHeight="1">
      <c r="A44" s="16"/>
      <c r="B44" s="115"/>
      <c r="C44" s="194" t="s">
        <v>173</v>
      </c>
      <c r="D44" s="118">
        <f t="shared" si="11"/>
        <v>0</v>
      </c>
      <c r="E44" s="117"/>
      <c r="F44" s="118">
        <f t="shared" si="7"/>
        <v>0</v>
      </c>
      <c r="G44" s="117"/>
      <c r="H44" s="118">
        <f t="shared" si="3"/>
        <v>0</v>
      </c>
      <c r="I44" s="119"/>
      <c r="J44" s="118">
        <f t="shared" si="4"/>
        <v>0</v>
      </c>
      <c r="K44" s="117"/>
      <c r="L44" s="118">
        <f t="shared" si="8"/>
        <v>0</v>
      </c>
      <c r="M44" s="195">
        <v>0.0</v>
      </c>
      <c r="N44" s="195">
        <v>10.0</v>
      </c>
      <c r="O44" s="138" t="str">
        <f t="shared" si="6"/>
        <v>sqflite</v>
      </c>
    </row>
    <row r="45" ht="15.75" customHeight="1">
      <c r="A45" s="16"/>
      <c r="B45" s="115"/>
      <c r="C45" s="194" t="s">
        <v>174</v>
      </c>
      <c r="D45" s="118">
        <f t="shared" si="11"/>
        <v>0.9</v>
      </c>
      <c r="E45" s="117"/>
      <c r="F45" s="118">
        <f t="shared" si="7"/>
        <v>0.9</v>
      </c>
      <c r="G45" s="117"/>
      <c r="H45" s="118">
        <f t="shared" si="3"/>
        <v>0.9</v>
      </c>
      <c r="I45" s="119"/>
      <c r="J45" s="118">
        <f t="shared" si="4"/>
        <v>0.9</v>
      </c>
      <c r="K45" s="117"/>
      <c r="L45" s="118">
        <f t="shared" si="8"/>
        <v>0.9</v>
      </c>
      <c r="M45" s="195">
        <v>9.0</v>
      </c>
      <c r="N45" s="195">
        <v>10.0</v>
      </c>
      <c r="O45" s="138" t="str">
        <f t="shared" si="6"/>
        <v>dio</v>
      </c>
    </row>
    <row r="46" ht="15.75" customHeight="1">
      <c r="A46" s="16"/>
      <c r="B46" s="115"/>
      <c r="C46" s="194" t="s">
        <v>175</v>
      </c>
      <c r="D46" s="118">
        <f t="shared" si="11"/>
        <v>0</v>
      </c>
      <c r="E46" s="117"/>
      <c r="F46" s="118">
        <f t="shared" si="7"/>
        <v>0</v>
      </c>
      <c r="G46" s="117"/>
      <c r="H46" s="118">
        <f t="shared" si="3"/>
        <v>0</v>
      </c>
      <c r="I46" s="119"/>
      <c r="J46" s="118">
        <f t="shared" si="4"/>
        <v>0</v>
      </c>
      <c r="K46" s="117"/>
      <c r="L46" s="118">
        <f t="shared" si="8"/>
        <v>0</v>
      </c>
      <c r="M46" s="195">
        <v>0.0</v>
      </c>
      <c r="N46" s="195">
        <v>10.0</v>
      </c>
      <c r="O46" s="138" t="str">
        <f t="shared" si="6"/>
        <v>secure_storage</v>
      </c>
    </row>
    <row r="47" ht="15.75" customHeight="1">
      <c r="A47" s="16"/>
      <c r="B47" s="115"/>
      <c r="C47" s="194" t="s">
        <v>176</v>
      </c>
      <c r="D47" s="118">
        <f t="shared" si="11"/>
        <v>0.6</v>
      </c>
      <c r="E47" s="117"/>
      <c r="F47" s="118">
        <f t="shared" si="7"/>
        <v>0.6</v>
      </c>
      <c r="G47" s="117"/>
      <c r="H47" s="118">
        <f t="shared" si="3"/>
        <v>0.6</v>
      </c>
      <c r="I47" s="119"/>
      <c r="J47" s="118">
        <f t="shared" si="4"/>
        <v>0.6</v>
      </c>
      <c r="K47" s="117"/>
      <c r="L47" s="118">
        <f t="shared" si="8"/>
        <v>0.6</v>
      </c>
      <c r="M47" s="195">
        <v>6.0</v>
      </c>
      <c r="N47" s="195">
        <v>10.0</v>
      </c>
      <c r="O47" s="138" t="str">
        <f t="shared" si="6"/>
        <v>shared_preferences</v>
      </c>
    </row>
    <row r="48" ht="15.75" customHeight="1">
      <c r="A48" s="16"/>
      <c r="B48" s="115"/>
      <c r="C48" s="194" t="s">
        <v>177</v>
      </c>
      <c r="D48" s="118">
        <f t="shared" si="11"/>
        <v>0.3</v>
      </c>
      <c r="E48" s="117"/>
      <c r="F48" s="118">
        <f t="shared" si="7"/>
        <v>0.3</v>
      </c>
      <c r="G48" s="117"/>
      <c r="H48" s="118">
        <f t="shared" si="3"/>
        <v>0.3</v>
      </c>
      <c r="I48" s="119"/>
      <c r="J48" s="118">
        <f t="shared" si="4"/>
        <v>0.3</v>
      </c>
      <c r="K48" s="117"/>
      <c r="L48" s="118">
        <f t="shared" si="8"/>
        <v>0.3</v>
      </c>
      <c r="M48" s="195">
        <v>3.0</v>
      </c>
      <c r="N48" s="195">
        <v>10.0</v>
      </c>
      <c r="O48" s="138" t="str">
        <f t="shared" si="6"/>
        <v>intl</v>
      </c>
    </row>
    <row r="49" ht="15.75" customHeight="1">
      <c r="A49" s="16"/>
      <c r="B49" s="115"/>
      <c r="C49" s="194" t="s">
        <v>178</v>
      </c>
      <c r="D49" s="118">
        <f t="shared" si="11"/>
        <v>0</v>
      </c>
      <c r="E49" s="117"/>
      <c r="F49" s="118">
        <f t="shared" si="7"/>
        <v>0</v>
      </c>
      <c r="G49" s="117"/>
      <c r="H49" s="118">
        <f t="shared" si="3"/>
        <v>0</v>
      </c>
      <c r="I49" s="119"/>
      <c r="J49" s="118">
        <f t="shared" si="4"/>
        <v>0</v>
      </c>
      <c r="K49" s="117"/>
      <c r="L49" s="118">
        <f t="shared" si="8"/>
        <v>0</v>
      </c>
      <c r="M49" s="195">
        <v>0.0</v>
      </c>
      <c r="N49" s="195">
        <v>10.0</v>
      </c>
      <c r="O49" s="138" t="str">
        <f t="shared" si="6"/>
        <v>hive</v>
      </c>
    </row>
    <row r="50" ht="15.75" customHeight="1">
      <c r="A50" s="16"/>
      <c r="B50" s="115"/>
      <c r="C50" s="194" t="s">
        <v>179</v>
      </c>
      <c r="D50" s="118">
        <f t="shared" si="11"/>
        <v>0</v>
      </c>
      <c r="E50" s="117"/>
      <c r="F50" s="118">
        <f t="shared" si="7"/>
        <v>0</v>
      </c>
      <c r="G50" s="117"/>
      <c r="H50" s="118">
        <f t="shared" si="3"/>
        <v>0</v>
      </c>
      <c r="I50" s="119"/>
      <c r="J50" s="118">
        <f t="shared" si="4"/>
        <v>0</v>
      </c>
      <c r="K50" s="117"/>
      <c r="L50" s="118">
        <f t="shared" si="8"/>
        <v>0</v>
      </c>
      <c r="M50" s="195">
        <v>0.0</v>
      </c>
      <c r="N50" s="195">
        <v>10.0</v>
      </c>
      <c r="O50" s="138" t="str">
        <f t="shared" si="6"/>
        <v>mockito</v>
      </c>
    </row>
    <row r="51" ht="15.75" customHeight="1">
      <c r="A51" s="55"/>
      <c r="B51" s="198"/>
      <c r="C51" s="199" t="s">
        <v>180</v>
      </c>
      <c r="D51" s="200">
        <f t="shared" si="11"/>
        <v>0</v>
      </c>
      <c r="E51" s="201"/>
      <c r="F51" s="200">
        <f t="shared" si="7"/>
        <v>0</v>
      </c>
      <c r="G51" s="201"/>
      <c r="H51" s="200">
        <f t="shared" si="3"/>
        <v>0</v>
      </c>
      <c r="I51" s="202"/>
      <c r="J51" s="200">
        <f t="shared" si="4"/>
        <v>0</v>
      </c>
      <c r="K51" s="201"/>
      <c r="L51" s="200">
        <f t="shared" si="8"/>
        <v>0</v>
      </c>
      <c r="M51" s="203">
        <v>0.0</v>
      </c>
      <c r="N51" s="203">
        <v>10.0</v>
      </c>
      <c r="O51" s="138" t="str">
        <f t="shared" si="6"/>
        <v>mocktail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1:D14"/>
    <mergeCell ref="E11:E13"/>
    <mergeCell ref="F11:F13"/>
    <mergeCell ref="D15:D21"/>
    <mergeCell ref="D24:D25"/>
    <mergeCell ref="D26:D28"/>
    <mergeCell ref="D34:D38"/>
    <mergeCell ref="A1:B1"/>
    <mergeCell ref="C1:D1"/>
    <mergeCell ref="E1:F1"/>
    <mergeCell ref="G1:H1"/>
    <mergeCell ref="I1:J1"/>
    <mergeCell ref="K1:L1"/>
    <mergeCell ref="A2:A23"/>
    <mergeCell ref="A34:A51"/>
    <mergeCell ref="B34:B51"/>
    <mergeCell ref="C34:C38"/>
    <mergeCell ref="C39:C41"/>
    <mergeCell ref="D39:D41"/>
    <mergeCell ref="B2:B23"/>
    <mergeCell ref="C11:C14"/>
    <mergeCell ref="C15:C21"/>
    <mergeCell ref="A24:A33"/>
    <mergeCell ref="B24:B33"/>
    <mergeCell ref="C24:C25"/>
    <mergeCell ref="C26:C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13"/>
    <col customWidth="1" min="2" max="26" width="14.38"/>
  </cols>
  <sheetData>
    <row r="1" ht="15.75" customHeight="1">
      <c r="A1" s="68" t="s">
        <v>181</v>
      </c>
      <c r="B1" s="204">
        <f>AVERAGE('Фундаментальные'!B2:B19)</f>
        <v>0.4272727273</v>
      </c>
    </row>
    <row r="2" ht="15.75" customHeight="1">
      <c r="A2" s="68" t="s">
        <v>182</v>
      </c>
      <c r="B2" s="204">
        <f>AVERAGE('Окружение'!B2:B41)</f>
        <v>0.2884313725</v>
      </c>
    </row>
    <row r="3" ht="15.75" customHeight="1">
      <c r="A3" s="68" t="s">
        <v>183</v>
      </c>
      <c r="B3" s="204">
        <f>AVERAGE('Тестрирование'!B2:B6)</f>
        <v>0.1444444444</v>
      </c>
    </row>
    <row r="4" ht="15.75" customHeight="1">
      <c r="A4" s="68" t="s">
        <v>184</v>
      </c>
      <c r="B4" s="204">
        <f>AVERAGE(Teamwork!B2:B3)</f>
        <v>0.5</v>
      </c>
    </row>
    <row r="5" ht="15.75" customHeight="1">
      <c r="A5" s="68" t="s">
        <v>185</v>
      </c>
      <c r="B5" s="204">
        <f>AVERAGE(Dart!B2:B26)</f>
        <v>0.31825</v>
      </c>
    </row>
    <row r="6" ht="15.75" customHeight="1">
      <c r="A6" s="68" t="s">
        <v>186</v>
      </c>
      <c r="B6" s="204">
        <f>AVERAGE(Flutter!B2:B51)</f>
        <v>0.2901119251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